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codeName="ThisWorkbook" defaultThemeVersion="124226"/>
  <bookViews>
    <workbookView xWindow="0" yWindow="45" windowWidth="18615" windowHeight="9735"/>
  </bookViews>
  <sheets>
    <sheet name="Sheet1" sheetId="1" r:id="rId1"/>
  </sheets>
  <calcPr calcId="125725"/>
</workbook>
</file>

<file path=xl/calcChain.xml><?xml version="1.0" encoding="utf-8"?>
<calcChain xmlns="http://schemas.openxmlformats.org/spreadsheetml/2006/main">
  <c r="H312" i="1"/>
  <c r="H305"/>
  <c r="H298"/>
  <c r="H291"/>
  <c r="H284"/>
  <c r="H277"/>
  <c r="H270"/>
  <c r="H263"/>
  <c r="H256"/>
  <c r="H249"/>
  <c r="H242"/>
  <c r="H235"/>
  <c r="H228"/>
  <c r="H221"/>
  <c r="H137"/>
  <c r="G131"/>
  <c r="G132"/>
  <c r="G133"/>
  <c r="G134"/>
  <c r="G135"/>
  <c r="G136"/>
  <c r="G137"/>
  <c r="G138"/>
  <c r="G139"/>
  <c r="G140"/>
  <c r="G141"/>
  <c r="G142"/>
  <c r="G143"/>
  <c r="G144"/>
  <c r="G145"/>
  <c r="G146"/>
  <c r="G147"/>
  <c r="G148"/>
  <c r="G149"/>
  <c r="G150"/>
  <c r="G151"/>
  <c r="G152"/>
  <c r="G153"/>
  <c r="G154"/>
  <c r="G155"/>
  <c r="G156"/>
  <c r="G157"/>
  <c r="G158"/>
  <c r="G159"/>
  <c r="G160"/>
  <c r="G161"/>
  <c r="G162"/>
  <c r="G163"/>
  <c r="G164"/>
  <c r="G165"/>
  <c r="G166"/>
  <c r="G167"/>
  <c r="G168"/>
  <c r="G169"/>
  <c r="G170"/>
  <c r="G171"/>
  <c r="G172"/>
  <c r="G173"/>
  <c r="G174"/>
  <c r="G175"/>
  <c r="G176"/>
  <c r="G177"/>
  <c r="G178"/>
  <c r="G179"/>
  <c r="G180"/>
  <c r="G181"/>
  <c r="G182"/>
  <c r="G183"/>
  <c r="G184"/>
  <c r="G185"/>
  <c r="G186"/>
  <c r="G187"/>
  <c r="G188"/>
  <c r="G189"/>
  <c r="G190"/>
  <c r="G191"/>
  <c r="G192"/>
  <c r="G193"/>
  <c r="G194"/>
  <c r="G195"/>
  <c r="G196"/>
  <c r="G197"/>
  <c r="G198"/>
  <c r="G199"/>
  <c r="G200"/>
  <c r="G201"/>
  <c r="G202"/>
  <c r="G203"/>
  <c r="G204"/>
  <c r="G205"/>
  <c r="G206"/>
  <c r="G207"/>
  <c r="G208"/>
  <c r="G209"/>
  <c r="G210"/>
  <c r="G211"/>
  <c r="G212"/>
  <c r="G213"/>
  <c r="G214"/>
  <c r="G215"/>
  <c r="G216"/>
  <c r="G217"/>
  <c r="G218"/>
  <c r="G219"/>
  <c r="G220"/>
  <c r="G221"/>
  <c r="G222"/>
  <c r="G223"/>
  <c r="G224"/>
  <c r="G225"/>
  <c r="G226"/>
  <c r="G227"/>
  <c r="G228"/>
  <c r="G229"/>
  <c r="G230"/>
  <c r="G231"/>
  <c r="G232"/>
  <c r="G233"/>
  <c r="G234"/>
  <c r="G235"/>
  <c r="G236"/>
  <c r="G237"/>
  <c r="G238"/>
  <c r="G239"/>
  <c r="G240"/>
  <c r="G241"/>
  <c r="G242"/>
  <c r="G243"/>
  <c r="G244"/>
  <c r="G245"/>
  <c r="G246"/>
  <c r="G247"/>
  <c r="G248"/>
  <c r="G249"/>
  <c r="G250"/>
  <c r="G251"/>
  <c r="G252"/>
  <c r="G253"/>
  <c r="G254"/>
  <c r="G255"/>
  <c r="G256"/>
  <c r="G257"/>
  <c r="G258"/>
  <c r="G259"/>
  <c r="G260"/>
  <c r="G261"/>
  <c r="G262"/>
  <c r="G263"/>
  <c r="G264"/>
  <c r="G265"/>
  <c r="G266"/>
  <c r="G267"/>
  <c r="G268"/>
  <c r="G269"/>
  <c r="G270"/>
  <c r="G271"/>
  <c r="G272"/>
  <c r="G273"/>
  <c r="G274"/>
  <c r="G275"/>
  <c r="G276"/>
  <c r="G277"/>
  <c r="G278"/>
  <c r="G279"/>
  <c r="G280"/>
  <c r="G281"/>
  <c r="G282"/>
  <c r="G283"/>
  <c r="G284"/>
  <c r="G285"/>
  <c r="G286"/>
  <c r="G287"/>
  <c r="G288"/>
  <c r="G289"/>
  <c r="G290"/>
  <c r="G291"/>
  <c r="G292"/>
  <c r="G293"/>
  <c r="G294"/>
  <c r="G295"/>
  <c r="G296"/>
  <c r="G297"/>
  <c r="G298"/>
  <c r="G299"/>
  <c r="G300"/>
  <c r="G301"/>
  <c r="G302"/>
  <c r="G303"/>
  <c r="G304"/>
  <c r="G305"/>
  <c r="G306"/>
  <c r="G307"/>
  <c r="G308"/>
  <c r="G309"/>
  <c r="G310"/>
  <c r="G311"/>
  <c r="G312"/>
  <c r="G313"/>
  <c r="G314"/>
  <c r="G315"/>
  <c r="G316"/>
  <c r="G317"/>
  <c r="G318"/>
  <c r="G319"/>
  <c r="G320"/>
  <c r="G321"/>
  <c r="G322"/>
  <c r="G323"/>
  <c r="G324"/>
  <c r="G325"/>
  <c r="G326"/>
  <c r="G327"/>
  <c r="G328"/>
  <c r="G329"/>
  <c r="G330"/>
  <c r="G331"/>
  <c r="G332"/>
  <c r="G333"/>
  <c r="G334"/>
  <c r="G335"/>
  <c r="G336"/>
  <c r="G337"/>
  <c r="G338"/>
  <c r="G339"/>
  <c r="G340"/>
  <c r="G341"/>
  <c r="G342"/>
  <c r="G343"/>
  <c r="G344"/>
  <c r="G345"/>
  <c r="G346"/>
  <c r="G347"/>
  <c r="G348"/>
  <c r="G349"/>
  <c r="G350"/>
  <c r="G351"/>
  <c r="G352"/>
  <c r="G353"/>
  <c r="G354"/>
  <c r="G355"/>
  <c r="G356"/>
  <c r="G357"/>
  <c r="G358"/>
  <c r="G359"/>
  <c r="G360"/>
  <c r="G361"/>
  <c r="G362"/>
  <c r="G363"/>
  <c r="G364"/>
  <c r="G365"/>
  <c r="G366"/>
  <c r="G367"/>
  <c r="G368"/>
  <c r="G369"/>
  <c r="G370"/>
  <c r="G371"/>
  <c r="G372"/>
  <c r="G373"/>
  <c r="G374"/>
  <c r="G375"/>
  <c r="G376"/>
  <c r="G377"/>
  <c r="G378"/>
  <c r="G379"/>
  <c r="G380"/>
  <c r="G381"/>
  <c r="G382"/>
  <c r="G383"/>
  <c r="G384"/>
  <c r="G385"/>
  <c r="G386"/>
  <c r="G387"/>
  <c r="G388"/>
  <c r="G389"/>
  <c r="G390"/>
  <c r="G391"/>
  <c r="G392"/>
  <c r="G393"/>
  <c r="G394"/>
  <c r="G395"/>
  <c r="G396"/>
  <c r="G397"/>
  <c r="G398"/>
  <c r="G399"/>
  <c r="G400"/>
  <c r="G401"/>
  <c r="G402"/>
  <c r="G403"/>
  <c r="G404"/>
  <c r="G405"/>
  <c r="G406"/>
  <c r="G407"/>
  <c r="G408"/>
  <c r="G409"/>
  <c r="G410"/>
  <c r="G411"/>
  <c r="G412"/>
  <c r="G413"/>
  <c r="G414"/>
  <c r="G415"/>
  <c r="G416"/>
  <c r="G417"/>
  <c r="G418"/>
  <c r="G419"/>
  <c r="G420"/>
  <c r="G421"/>
  <c r="G422"/>
  <c r="G423"/>
  <c r="G424"/>
  <c r="G425"/>
  <c r="G426"/>
  <c r="G427"/>
  <c r="G428"/>
  <c r="G429"/>
  <c r="G430"/>
  <c r="G431"/>
  <c r="G432"/>
  <c r="G433"/>
  <c r="G434"/>
  <c r="G435"/>
  <c r="G436"/>
  <c r="G437"/>
  <c r="G438"/>
  <c r="G439"/>
  <c r="G440"/>
  <c r="G441"/>
  <c r="G442"/>
  <c r="G443"/>
  <c r="G444"/>
  <c r="G445"/>
  <c r="G446"/>
  <c r="G447"/>
  <c r="G448"/>
  <c r="G449"/>
  <c r="G450"/>
  <c r="G451"/>
  <c r="G452"/>
  <c r="G453"/>
  <c r="G454"/>
  <c r="G455"/>
  <c r="G456"/>
  <c r="G457"/>
  <c r="G458"/>
  <c r="G459"/>
  <c r="G460"/>
  <c r="G461"/>
  <c r="G462"/>
  <c r="G463"/>
  <c r="G464"/>
  <c r="G465"/>
  <c r="G466"/>
  <c r="G467"/>
  <c r="G468"/>
  <c r="G469"/>
  <c r="G470"/>
  <c r="G471"/>
  <c r="G472"/>
  <c r="G473"/>
  <c r="G474"/>
  <c r="G475"/>
  <c r="G476"/>
  <c r="G477"/>
  <c r="G478"/>
  <c r="G479"/>
  <c r="G480"/>
  <c r="G481"/>
  <c r="G482"/>
  <c r="G483"/>
  <c r="G484"/>
  <c r="G485"/>
  <c r="G486"/>
  <c r="G487"/>
  <c r="G488"/>
  <c r="G489"/>
  <c r="G490"/>
  <c r="G491"/>
  <c r="G492"/>
  <c r="G493"/>
  <c r="G494"/>
  <c r="G495"/>
  <c r="H130"/>
  <c r="H18"/>
  <c r="H11"/>
  <c r="G15"/>
  <c r="G16"/>
  <c r="G17"/>
  <c r="G18"/>
  <c r="G19"/>
  <c r="G20"/>
  <c r="G21"/>
  <c r="G22"/>
  <c r="G23"/>
  <c r="G24"/>
  <c r="G25"/>
  <c r="G26"/>
  <c r="G27"/>
  <c r="G28"/>
  <c r="G29"/>
  <c r="G30"/>
  <c r="G31"/>
  <c r="G32"/>
  <c r="G33"/>
  <c r="G34"/>
  <c r="G35"/>
  <c r="G36"/>
  <c r="G37"/>
  <c r="G38"/>
  <c r="G39"/>
  <c r="G40"/>
  <c r="G41"/>
  <c r="G42"/>
  <c r="G43"/>
  <c r="G44"/>
  <c r="G45"/>
  <c r="G46"/>
  <c r="G47"/>
  <c r="G48"/>
  <c r="G49"/>
  <c r="G50"/>
  <c r="G51"/>
  <c r="G52"/>
  <c r="G53"/>
  <c r="G54"/>
  <c r="G55"/>
  <c r="G56"/>
  <c r="G57"/>
  <c r="G58"/>
  <c r="G59"/>
  <c r="G60"/>
  <c r="G61"/>
  <c r="G62"/>
  <c r="G63"/>
  <c r="G64"/>
  <c r="G65"/>
  <c r="G66"/>
  <c r="G67"/>
  <c r="G68"/>
  <c r="G69"/>
  <c r="G70"/>
  <c r="G71"/>
  <c r="G72"/>
  <c r="G73"/>
  <c r="G74"/>
  <c r="G75"/>
  <c r="G76"/>
  <c r="G77"/>
  <c r="G78"/>
  <c r="G79"/>
  <c r="G80"/>
  <c r="G81"/>
  <c r="G82"/>
  <c r="G83"/>
  <c r="G84"/>
  <c r="G85"/>
  <c r="G86"/>
  <c r="G87"/>
  <c r="G88"/>
  <c r="G89"/>
  <c r="G90"/>
  <c r="G91"/>
  <c r="G92"/>
  <c r="G93"/>
  <c r="G94"/>
  <c r="G95"/>
  <c r="G96"/>
  <c r="G97"/>
  <c r="G98"/>
  <c r="G99"/>
  <c r="G100"/>
  <c r="G101"/>
  <c r="G102"/>
  <c r="G103"/>
  <c r="G104"/>
  <c r="G105"/>
  <c r="G106"/>
  <c r="G107"/>
  <c r="G108"/>
  <c r="G109"/>
  <c r="G110"/>
  <c r="G111"/>
  <c r="G112"/>
  <c r="G113"/>
  <c r="G114"/>
  <c r="G115"/>
  <c r="G116"/>
  <c r="G117"/>
  <c r="G118"/>
  <c r="G119"/>
  <c r="G120"/>
  <c r="G121"/>
  <c r="G122"/>
  <c r="G123"/>
  <c r="G124"/>
  <c r="G125"/>
  <c r="G126"/>
  <c r="G127"/>
  <c r="G128"/>
  <c r="G129"/>
  <c r="G130"/>
  <c r="G5"/>
  <c r="G7"/>
  <c r="G8"/>
  <c r="G9"/>
  <c r="G10"/>
  <c r="G11"/>
  <c r="G12"/>
  <c r="G14"/>
  <c r="G6"/>
  <c r="C19"/>
  <c r="C26" s="1"/>
  <c r="C33" s="1"/>
  <c r="C40" s="1"/>
  <c r="C47" s="1"/>
  <c r="C54" s="1"/>
  <c r="C61" s="1"/>
  <c r="C68" s="1"/>
  <c r="C75" s="1"/>
  <c r="C82" s="1"/>
  <c r="C89" s="1"/>
  <c r="C96" s="1"/>
  <c r="C103" s="1"/>
  <c r="C110" s="1"/>
  <c r="C117" s="1"/>
  <c r="C124" s="1"/>
  <c r="C12"/>
  <c r="H214" l="1"/>
  <c r="H207"/>
  <c r="H200"/>
  <c r="H193"/>
  <c r="H186"/>
  <c r="H179"/>
  <c r="H172"/>
  <c r="H165"/>
  <c r="H158"/>
  <c r="H151"/>
  <c r="H144"/>
  <c r="H123"/>
  <c r="H116"/>
  <c r="H109"/>
  <c r="H102"/>
  <c r="H95"/>
  <c r="H88"/>
  <c r="H81"/>
  <c r="H74"/>
  <c r="H67"/>
  <c r="H60"/>
  <c r="H53"/>
  <c r="H46"/>
  <c r="H39"/>
  <c r="H32"/>
  <c r="H25"/>
</calcChain>
</file>

<file path=xl/sharedStrings.xml><?xml version="1.0" encoding="utf-8"?>
<sst xmlns="http://schemas.openxmlformats.org/spreadsheetml/2006/main" count="389" uniqueCount="45">
  <si>
    <t>Zeiterfassung</t>
  </si>
  <si>
    <t>Kommen</t>
  </si>
  <si>
    <t>Gehen</t>
  </si>
  <si>
    <t>Mittag</t>
  </si>
  <si>
    <t>Total</t>
  </si>
  <si>
    <t>Day</t>
  </si>
  <si>
    <t>Date</t>
  </si>
  <si>
    <t>Week</t>
  </si>
  <si>
    <t>Mo</t>
  </si>
  <si>
    <t>Di</t>
  </si>
  <si>
    <t>Mi</t>
  </si>
  <si>
    <t>Do</t>
  </si>
  <si>
    <t>Fr</t>
  </si>
  <si>
    <t>Sa</t>
  </si>
  <si>
    <t>So</t>
  </si>
  <si>
    <t>Bemerkungen</t>
  </si>
  <si>
    <t>Sums</t>
  </si>
  <si>
    <t>Format:Custom&gt;[h]:mm</t>
  </si>
  <si>
    <t>Roland Benz, Project Management Excellence</t>
  </si>
  <si>
    <t>Lecture Invitation als Mittagszeit erfasst</t>
  </si>
  <si>
    <t>Macro geschrieben und getestet, Zeit nicht erfasst</t>
  </si>
  <si>
    <t>Macro geschrieben, Zeit nicht erfasst</t>
  </si>
  <si>
    <t>Beerdigung Grossvater</t>
  </si>
  <si>
    <t>Operativer Eingriff am Fuss</t>
  </si>
  <si>
    <t>Nach der Sitzung noch mit Sebatian und Elvira bis etwa 19 Uhr gesprochen und danach bis 21:45 programmiert, Zeit nur Teilweise erfasst</t>
  </si>
  <si>
    <t>Am Morgen Programmcode getested und vorbereitet, Zeit nicht erfasst</t>
  </si>
  <si>
    <t>Am Abend: VBA Einführung für Sebastian vorbereitet, Zeit nicht erfasst</t>
  </si>
  <si>
    <t>Infos über die Möglichkeiten zur Weitergabe von Software gesammelt und duchgelesen, Zeit nicht erfasst</t>
  </si>
  <si>
    <t>Ribbons getestet, XMX CustomerUI schema</t>
  </si>
  <si>
    <t>Bis 22:00 gearbeitet, Tagdurch am Crop demonstation event</t>
  </si>
  <si>
    <t>Frei OP Mama, Nachmittag Programme geschrieben</t>
  </si>
  <si>
    <t>Samstag PopUp Messages Problem ganzen Tag gearbeitet</t>
  </si>
  <si>
    <t>Frei OP Mama</t>
  </si>
  <si>
    <t>Ferien</t>
  </si>
  <si>
    <t>Programmiert für Jochen</t>
  </si>
  <si>
    <t>Ferien; Programmiert für Jochen</t>
  </si>
  <si>
    <t>1 Std Training vor Meeting + 1:15 Mittag</t>
  </si>
  <si>
    <t>1:10 Training während Download + 0:50 Mittag</t>
  </si>
  <si>
    <t>Bis 18:05 gearbeitet</t>
  </si>
  <si>
    <t>Bis 18:00:00 gearbeitet, kein Mittag aber von 16:30-17:30 trainiert</t>
  </si>
  <si>
    <t>20 Min Mittag und 1:25 trainiert ab 17:35</t>
  </si>
  <si>
    <t>Mittag und training von 11:35-14:05</t>
  </si>
  <si>
    <t>Frei wegen Fasching</t>
  </si>
  <si>
    <t>Mittag und Training</t>
  </si>
  <si>
    <t>von 13:30 - 17:30 Projektpräsentationen L+D</t>
  </si>
</sst>
</file>

<file path=xl/styles.xml><?xml version="1.0" encoding="utf-8"?>
<styleSheet xmlns="http://schemas.openxmlformats.org/spreadsheetml/2006/main">
  <numFmts count="1">
    <numFmt numFmtId="164" formatCode="[h]:mm"/>
  </numFmts>
  <fonts count="5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trike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20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46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0" fontId="1" fillId="0" borderId="0" xfId="0" applyFont="1" applyAlignment="1">
      <alignment horizontal="left"/>
    </xf>
    <xf numFmtId="0" fontId="2" fillId="0" borderId="0" xfId="0" applyFont="1" applyAlignment="1">
      <alignment horizontal="left"/>
    </xf>
    <xf numFmtId="0" fontId="1" fillId="0" borderId="0" xfId="0" applyFont="1" applyAlignment="1">
      <alignment horizontal="center"/>
    </xf>
    <xf numFmtId="46" fontId="1" fillId="0" borderId="0" xfId="0" applyNumberFormat="1" applyFont="1" applyAlignment="1">
      <alignment horizontal="center"/>
    </xf>
    <xf numFmtId="164" fontId="3" fillId="0" borderId="0" xfId="0" applyNumberFormat="1" applyFont="1" applyAlignment="1">
      <alignment horizontal="center"/>
    </xf>
    <xf numFmtId="0" fontId="0" fillId="2" borderId="0" xfId="0" applyFill="1" applyAlignment="1">
      <alignment horizontal="left"/>
    </xf>
    <xf numFmtId="0" fontId="4" fillId="2" borderId="0" xfId="0" applyFont="1" applyFill="1" applyAlignment="1">
      <alignment horizontal="left"/>
    </xf>
    <xf numFmtId="20" fontId="0" fillId="0" borderId="0" xfId="0" applyNumberFormat="1" applyAlignment="1">
      <alignment horizontal="left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I495"/>
  <sheetViews>
    <sheetView tabSelected="1" topLeftCell="A194" zoomScaleNormal="100" workbookViewId="0">
      <selection activeCell="E211" sqref="E211"/>
    </sheetView>
  </sheetViews>
  <sheetFormatPr defaultRowHeight="15"/>
  <cols>
    <col min="1" max="1" width="10.140625" style="1" bestFit="1" customWidth="1"/>
    <col min="2" max="7" width="9.140625" style="1"/>
    <col min="8" max="8" width="9.140625" style="5"/>
    <col min="9" max="9" width="46.140625" style="4" customWidth="1"/>
  </cols>
  <sheetData>
    <row r="1" spans="1:9" ht="18.75">
      <c r="A1" s="8" t="s">
        <v>0</v>
      </c>
    </row>
    <row r="2" spans="1:9">
      <c r="A2" s="7" t="s">
        <v>18</v>
      </c>
      <c r="H2" s="5" t="s">
        <v>17</v>
      </c>
    </row>
    <row r="4" spans="1:9">
      <c r="A4" s="9" t="s">
        <v>6</v>
      </c>
      <c r="B4" s="9" t="s">
        <v>5</v>
      </c>
      <c r="C4" s="9" t="s">
        <v>7</v>
      </c>
      <c r="D4" s="9" t="s">
        <v>1</v>
      </c>
      <c r="E4" s="9" t="s">
        <v>2</v>
      </c>
      <c r="F4" s="9" t="s">
        <v>3</v>
      </c>
      <c r="G4" s="9" t="s">
        <v>4</v>
      </c>
      <c r="H4" s="10" t="s">
        <v>16</v>
      </c>
      <c r="I4" s="7" t="s">
        <v>15</v>
      </c>
    </row>
    <row r="5" spans="1:9">
      <c r="A5" s="2">
        <v>40784</v>
      </c>
      <c r="B5" s="1" t="s">
        <v>8</v>
      </c>
      <c r="C5" s="1">
        <v>35</v>
      </c>
      <c r="D5" s="3">
        <v>0</v>
      </c>
      <c r="E5" s="3">
        <v>0</v>
      </c>
      <c r="F5" s="3">
        <v>0</v>
      </c>
      <c r="G5" s="3">
        <f>E5-D5-F5</f>
        <v>0</v>
      </c>
      <c r="H5" s="6"/>
    </row>
    <row r="6" spans="1:9">
      <c r="A6" s="2">
        <v>40785</v>
      </c>
      <c r="B6" s="1" t="s">
        <v>9</v>
      </c>
      <c r="D6" s="3">
        <v>0.35416666666666669</v>
      </c>
      <c r="E6" s="3">
        <v>0.85416666666666663</v>
      </c>
      <c r="F6" s="3">
        <v>4.1666666666666664E-2</v>
      </c>
      <c r="G6" s="3">
        <f>E6-D6-F6</f>
        <v>0.45833333333333326</v>
      </c>
      <c r="H6" s="6"/>
    </row>
    <row r="7" spans="1:9">
      <c r="A7" s="2">
        <v>40786</v>
      </c>
      <c r="B7" s="1" t="s">
        <v>10</v>
      </c>
      <c r="D7" s="3">
        <v>0.33333333333333331</v>
      </c>
      <c r="E7" s="3">
        <v>0.75694444444444453</v>
      </c>
      <c r="F7" s="3">
        <v>4.1666666666666664E-2</v>
      </c>
      <c r="G7" s="3">
        <f t="shared" ref="G7:G70" si="0">E7-D7-F7</f>
        <v>0.38194444444444453</v>
      </c>
      <c r="H7" s="6"/>
    </row>
    <row r="8" spans="1:9">
      <c r="A8" s="2">
        <v>40787</v>
      </c>
      <c r="B8" s="1" t="s">
        <v>11</v>
      </c>
      <c r="D8" s="3">
        <v>0.3263888888888889</v>
      </c>
      <c r="E8" s="3">
        <v>0.72916666666666663</v>
      </c>
      <c r="F8" s="3">
        <v>3.125E-2</v>
      </c>
      <c r="G8" s="3">
        <f t="shared" si="0"/>
        <v>0.37152777777777773</v>
      </c>
      <c r="H8" s="6"/>
    </row>
    <row r="9" spans="1:9">
      <c r="A9" s="2">
        <v>40788</v>
      </c>
      <c r="B9" s="1" t="s">
        <v>12</v>
      </c>
      <c r="D9" s="3">
        <v>0.30208333333333331</v>
      </c>
      <c r="E9" s="3">
        <v>0.82638888888888884</v>
      </c>
      <c r="F9" s="3">
        <v>6.25E-2</v>
      </c>
      <c r="G9" s="3">
        <f t="shared" si="0"/>
        <v>0.46180555555555558</v>
      </c>
      <c r="H9" s="6"/>
    </row>
    <row r="10" spans="1:9">
      <c r="A10" s="2">
        <v>40789</v>
      </c>
      <c r="B10" s="1" t="s">
        <v>13</v>
      </c>
      <c r="F10" s="3"/>
      <c r="G10" s="3">
        <f t="shared" si="0"/>
        <v>0</v>
      </c>
      <c r="H10" s="6"/>
    </row>
    <row r="11" spans="1:9">
      <c r="A11" s="2">
        <v>40790</v>
      </c>
      <c r="B11" s="1" t="s">
        <v>14</v>
      </c>
      <c r="G11" s="3">
        <f t="shared" si="0"/>
        <v>0</v>
      </c>
      <c r="H11" s="11">
        <f>SUM(G5:G11)</f>
        <v>1.6736111111111112</v>
      </c>
    </row>
    <row r="12" spans="1:9">
      <c r="A12" s="2">
        <v>40791</v>
      </c>
      <c r="B12" s="1" t="s">
        <v>8</v>
      </c>
      <c r="C12" s="1">
        <f>C5+1</f>
        <v>36</v>
      </c>
      <c r="D12" s="3">
        <v>0.30208333333333331</v>
      </c>
      <c r="E12" s="3">
        <v>0.70833333333333337</v>
      </c>
      <c r="F12" s="3">
        <v>4.1666666666666664E-2</v>
      </c>
      <c r="G12" s="3">
        <f t="shared" si="0"/>
        <v>0.36458333333333337</v>
      </c>
      <c r="H12" s="6"/>
    </row>
    <row r="13" spans="1:9">
      <c r="A13" s="2">
        <v>40792</v>
      </c>
      <c r="B13" s="1" t="s">
        <v>9</v>
      </c>
      <c r="D13" s="3">
        <v>0</v>
      </c>
      <c r="E13" s="3">
        <v>0</v>
      </c>
      <c r="F13" s="3">
        <v>0</v>
      </c>
      <c r="G13" s="3">
        <v>0.33333333333333331</v>
      </c>
      <c r="H13" s="6"/>
      <c r="I13" s="4" t="s">
        <v>22</v>
      </c>
    </row>
    <row r="14" spans="1:9">
      <c r="A14" s="2">
        <v>40793</v>
      </c>
      <c r="B14" s="1" t="s">
        <v>10</v>
      </c>
      <c r="D14" s="3">
        <v>0.2986111111111111</v>
      </c>
      <c r="E14" s="3">
        <v>0.78125</v>
      </c>
      <c r="F14" s="3">
        <v>4.1666666666666664E-2</v>
      </c>
      <c r="G14" s="3">
        <f t="shared" si="0"/>
        <v>0.44097222222222221</v>
      </c>
      <c r="H14" s="6"/>
    </row>
    <row r="15" spans="1:9">
      <c r="A15" s="2">
        <v>40794</v>
      </c>
      <c r="B15" s="1" t="s">
        <v>11</v>
      </c>
      <c r="D15" s="3">
        <v>0.30208333333333331</v>
      </c>
      <c r="E15" s="3">
        <v>0.73611111111111116</v>
      </c>
      <c r="F15" s="3">
        <v>3.125E-2</v>
      </c>
      <c r="G15" s="3">
        <f t="shared" si="0"/>
        <v>0.40277777777777785</v>
      </c>
      <c r="H15" s="6"/>
    </row>
    <row r="16" spans="1:9">
      <c r="A16" s="2">
        <v>40795</v>
      </c>
      <c r="B16" s="1" t="s">
        <v>12</v>
      </c>
      <c r="D16" s="3">
        <v>0.30208333333333331</v>
      </c>
      <c r="E16" s="3">
        <v>0.78472222222222221</v>
      </c>
      <c r="F16" s="3">
        <v>3.4722222222222224E-2</v>
      </c>
      <c r="G16" s="3">
        <f t="shared" si="0"/>
        <v>0.44791666666666669</v>
      </c>
      <c r="H16" s="6"/>
    </row>
    <row r="17" spans="1:9">
      <c r="A17" s="2">
        <v>40796</v>
      </c>
      <c r="B17" s="1" t="s">
        <v>13</v>
      </c>
      <c r="G17" s="3">
        <f t="shared" si="0"/>
        <v>0</v>
      </c>
      <c r="H17" s="6"/>
      <c r="I17" s="4" t="s">
        <v>21</v>
      </c>
    </row>
    <row r="18" spans="1:9">
      <c r="A18" s="2">
        <v>40797</v>
      </c>
      <c r="B18" s="1" t="s">
        <v>14</v>
      </c>
      <c r="G18" s="3">
        <f t="shared" si="0"/>
        <v>0</v>
      </c>
      <c r="H18" s="11">
        <f>SUM(G12:G18)</f>
        <v>1.9895833333333335</v>
      </c>
      <c r="I18" s="4" t="s">
        <v>20</v>
      </c>
    </row>
    <row r="19" spans="1:9">
      <c r="A19" s="2">
        <v>40798</v>
      </c>
      <c r="B19" s="1" t="s">
        <v>8</v>
      </c>
      <c r="C19" s="1">
        <f>C12+1</f>
        <v>37</v>
      </c>
      <c r="D19" s="3">
        <v>0.30208333333333331</v>
      </c>
      <c r="E19" s="3">
        <v>0.75694444444444453</v>
      </c>
      <c r="F19" s="3">
        <v>5.9027777777777783E-2</v>
      </c>
      <c r="G19" s="3">
        <f t="shared" si="0"/>
        <v>0.39583333333333343</v>
      </c>
      <c r="H19" s="6"/>
      <c r="I19" s="4" t="s">
        <v>19</v>
      </c>
    </row>
    <row r="20" spans="1:9">
      <c r="A20" s="2">
        <v>40799</v>
      </c>
      <c r="B20" s="1" t="s">
        <v>9</v>
      </c>
      <c r="D20" s="3">
        <v>0.30208333333333331</v>
      </c>
      <c r="E20" s="3">
        <v>0.77083333333333337</v>
      </c>
      <c r="F20" s="3">
        <v>5.9027777777777783E-2</v>
      </c>
      <c r="G20" s="3">
        <f t="shared" si="0"/>
        <v>0.40972222222222227</v>
      </c>
      <c r="H20" s="6"/>
    </row>
    <row r="21" spans="1:9">
      <c r="A21" s="2">
        <v>40800</v>
      </c>
      <c r="B21" s="1" t="s">
        <v>10</v>
      </c>
      <c r="D21" s="3">
        <v>0.30208333333333331</v>
      </c>
      <c r="E21" s="3">
        <v>0.70833333333333337</v>
      </c>
      <c r="F21" s="3">
        <v>3.125E-2</v>
      </c>
      <c r="G21" s="3">
        <f t="shared" si="0"/>
        <v>0.37500000000000006</v>
      </c>
      <c r="H21" s="6"/>
    </row>
    <row r="22" spans="1:9">
      <c r="A22" s="2">
        <v>40801</v>
      </c>
      <c r="B22" s="1" t="s">
        <v>11</v>
      </c>
      <c r="D22" s="3">
        <v>0.2986111111111111</v>
      </c>
      <c r="E22" s="3">
        <v>0.75</v>
      </c>
      <c r="F22" s="3">
        <v>5.9027777777777783E-2</v>
      </c>
      <c r="G22" s="3">
        <f t="shared" si="0"/>
        <v>0.3923611111111111</v>
      </c>
      <c r="H22" s="6"/>
    </row>
    <row r="23" spans="1:9">
      <c r="A23" s="2">
        <v>40802</v>
      </c>
      <c r="B23" s="1" t="s">
        <v>12</v>
      </c>
      <c r="D23" s="3">
        <v>0.2986111111111111</v>
      </c>
      <c r="E23" s="3">
        <v>0.8125</v>
      </c>
      <c r="F23" s="3">
        <v>6.25E-2</v>
      </c>
      <c r="G23" s="3">
        <f t="shared" si="0"/>
        <v>0.45138888888888884</v>
      </c>
      <c r="H23" s="6"/>
      <c r="I23" s="4" t="s">
        <v>24</v>
      </c>
    </row>
    <row r="24" spans="1:9">
      <c r="A24" s="2">
        <v>40803</v>
      </c>
      <c r="B24" s="1" t="s">
        <v>13</v>
      </c>
      <c r="G24" s="3">
        <f t="shared" si="0"/>
        <v>0</v>
      </c>
      <c r="H24" s="6"/>
      <c r="I24" s="4" t="s">
        <v>25</v>
      </c>
    </row>
    <row r="25" spans="1:9">
      <c r="A25" s="2">
        <v>40804</v>
      </c>
      <c r="B25" s="1" t="s">
        <v>14</v>
      </c>
      <c r="G25" s="3">
        <f t="shared" si="0"/>
        <v>0</v>
      </c>
      <c r="H25" s="11">
        <f>SUM(G19:G25)</f>
        <v>2.0243055555555558</v>
      </c>
    </row>
    <row r="26" spans="1:9">
      <c r="A26" s="2">
        <v>40805</v>
      </c>
      <c r="B26" s="1" t="s">
        <v>8</v>
      </c>
      <c r="C26" s="1">
        <f>C19+1</f>
        <v>38</v>
      </c>
      <c r="D26" s="3">
        <v>0.30208333333333331</v>
      </c>
      <c r="E26" s="3">
        <v>0.72916666666666663</v>
      </c>
      <c r="F26" s="3">
        <v>2.4305555555555556E-2</v>
      </c>
      <c r="G26" s="3">
        <f t="shared" si="0"/>
        <v>0.40277777777777773</v>
      </c>
      <c r="H26" s="6"/>
    </row>
    <row r="27" spans="1:9">
      <c r="A27" s="2">
        <v>40806</v>
      </c>
      <c r="B27" s="1" t="s">
        <v>9</v>
      </c>
      <c r="D27" s="3">
        <v>0.2986111111111111</v>
      </c>
      <c r="E27" s="3">
        <v>0.73263888888888884</v>
      </c>
      <c r="F27" s="3">
        <v>3.4722222222222224E-2</v>
      </c>
      <c r="G27" s="3">
        <f t="shared" si="0"/>
        <v>0.39930555555555552</v>
      </c>
      <c r="H27" s="6"/>
    </row>
    <row r="28" spans="1:9">
      <c r="A28" s="2">
        <v>40807</v>
      </c>
      <c r="B28" s="1" t="s">
        <v>10</v>
      </c>
      <c r="D28" s="3">
        <v>0.32291666666666669</v>
      </c>
      <c r="E28" s="3">
        <v>0.76388888888888884</v>
      </c>
      <c r="F28" s="3">
        <v>2.4305555555555556E-2</v>
      </c>
      <c r="G28" s="3">
        <f t="shared" si="0"/>
        <v>0.41666666666666657</v>
      </c>
      <c r="H28" s="6"/>
    </row>
    <row r="29" spans="1:9">
      <c r="A29" s="2">
        <v>40808</v>
      </c>
      <c r="B29" s="1" t="s">
        <v>11</v>
      </c>
      <c r="D29" s="3">
        <v>0.30208333333333331</v>
      </c>
      <c r="E29" s="3">
        <v>0.72916666666666663</v>
      </c>
      <c r="F29" s="3">
        <v>4.1666666666666664E-2</v>
      </c>
      <c r="G29" s="3">
        <f t="shared" si="0"/>
        <v>0.38541666666666663</v>
      </c>
      <c r="H29" s="6"/>
    </row>
    <row r="30" spans="1:9">
      <c r="A30" s="2">
        <v>40809</v>
      </c>
      <c r="B30" s="1" t="s">
        <v>12</v>
      </c>
      <c r="D30" s="3">
        <v>0.30208333333333331</v>
      </c>
      <c r="E30" s="3">
        <v>0.5</v>
      </c>
      <c r="F30" s="3">
        <v>0</v>
      </c>
      <c r="G30" s="3">
        <f t="shared" si="0"/>
        <v>0.19791666666666669</v>
      </c>
      <c r="H30" s="6"/>
      <c r="I30" s="4" t="s">
        <v>23</v>
      </c>
    </row>
    <row r="31" spans="1:9">
      <c r="A31" s="2">
        <v>40810</v>
      </c>
      <c r="B31" s="1" t="s">
        <v>13</v>
      </c>
      <c r="G31" s="3">
        <f t="shared" si="0"/>
        <v>0</v>
      </c>
      <c r="H31" s="6"/>
    </row>
    <row r="32" spans="1:9">
      <c r="A32" s="2">
        <v>40811</v>
      </c>
      <c r="B32" s="1" t="s">
        <v>14</v>
      </c>
      <c r="G32" s="3">
        <f t="shared" si="0"/>
        <v>0</v>
      </c>
      <c r="H32" s="11">
        <f>SUM(G26:G32)</f>
        <v>1.8020833333333333</v>
      </c>
    </row>
    <row r="33" spans="1:9">
      <c r="A33" s="2">
        <v>40812</v>
      </c>
      <c r="B33" s="1" t="s">
        <v>8</v>
      </c>
      <c r="C33" s="1">
        <f>C26+1</f>
        <v>39</v>
      </c>
      <c r="D33" s="3">
        <v>0.2951388888888889</v>
      </c>
      <c r="E33" s="3">
        <v>0.76736111111111116</v>
      </c>
      <c r="F33" s="3">
        <v>5.2083333333333336E-2</v>
      </c>
      <c r="G33" s="3">
        <f t="shared" si="0"/>
        <v>0.42013888888888895</v>
      </c>
      <c r="H33" s="6"/>
    </row>
    <row r="34" spans="1:9">
      <c r="A34" s="2">
        <v>40813</v>
      </c>
      <c r="B34" s="1" t="s">
        <v>9</v>
      </c>
      <c r="D34" s="3">
        <v>0.31944444444444448</v>
      </c>
      <c r="E34" s="3">
        <v>0.77777777777777779</v>
      </c>
      <c r="F34" s="3">
        <v>5.2083333333333336E-2</v>
      </c>
      <c r="G34" s="3">
        <f t="shared" si="0"/>
        <v>0.40625</v>
      </c>
      <c r="H34" s="6"/>
    </row>
    <row r="35" spans="1:9">
      <c r="A35" s="2">
        <v>40814</v>
      </c>
      <c r="B35" s="1" t="s">
        <v>10</v>
      </c>
      <c r="D35" s="3">
        <v>0.30208333333333331</v>
      </c>
      <c r="E35" s="3">
        <v>0.84027777777777779</v>
      </c>
      <c r="F35" s="3">
        <v>4.1666666666666664E-2</v>
      </c>
      <c r="G35" s="3">
        <f t="shared" si="0"/>
        <v>0.49652777777777773</v>
      </c>
      <c r="H35" s="6"/>
    </row>
    <row r="36" spans="1:9">
      <c r="A36" s="2">
        <v>40815</v>
      </c>
      <c r="B36" s="1" t="s">
        <v>11</v>
      </c>
      <c r="D36" s="3">
        <v>0.30208333333333331</v>
      </c>
      <c r="E36" s="3">
        <v>0.86805555555555547</v>
      </c>
      <c r="F36" s="3">
        <v>5.2083333333333336E-2</v>
      </c>
      <c r="G36" s="3">
        <f t="shared" si="0"/>
        <v>0.51388888888888873</v>
      </c>
      <c r="H36" s="6"/>
    </row>
    <row r="37" spans="1:9">
      <c r="A37" s="2">
        <v>40816</v>
      </c>
      <c r="B37" s="1" t="s">
        <v>12</v>
      </c>
      <c r="D37" s="3">
        <v>0.2986111111111111</v>
      </c>
      <c r="E37" s="3">
        <v>0.6875</v>
      </c>
      <c r="F37" s="3">
        <v>4.1666666666666664E-2</v>
      </c>
      <c r="G37" s="3">
        <f t="shared" si="0"/>
        <v>0.34722222222222221</v>
      </c>
      <c r="H37" s="6"/>
    </row>
    <row r="38" spans="1:9">
      <c r="A38" s="2">
        <v>40817</v>
      </c>
      <c r="B38" s="1" t="s">
        <v>13</v>
      </c>
      <c r="G38" s="3">
        <f t="shared" si="0"/>
        <v>0</v>
      </c>
      <c r="H38" s="6"/>
    </row>
    <row r="39" spans="1:9">
      <c r="A39" s="2">
        <v>40818</v>
      </c>
      <c r="B39" s="1" t="s">
        <v>14</v>
      </c>
      <c r="G39" s="3">
        <f t="shared" si="0"/>
        <v>0</v>
      </c>
      <c r="H39" s="11">
        <f>SUM(G33:G39)</f>
        <v>2.1840277777777777</v>
      </c>
      <c r="I39" s="4" t="s">
        <v>26</v>
      </c>
    </row>
    <row r="40" spans="1:9">
      <c r="A40" s="2">
        <v>40819</v>
      </c>
      <c r="B40" s="1" t="s">
        <v>8</v>
      </c>
      <c r="C40" s="1">
        <f>C33+1</f>
        <v>40</v>
      </c>
      <c r="D40" s="3">
        <v>0.2986111111111111</v>
      </c>
      <c r="E40" s="3">
        <v>0.80208333333333337</v>
      </c>
      <c r="F40" s="3">
        <v>2.7777777777777776E-2</v>
      </c>
      <c r="G40" s="3">
        <f t="shared" si="0"/>
        <v>0.47569444444444453</v>
      </c>
      <c r="H40" s="11"/>
    </row>
    <row r="41" spans="1:9">
      <c r="A41" s="2">
        <v>40820</v>
      </c>
      <c r="B41" s="1" t="s">
        <v>9</v>
      </c>
      <c r="D41" s="3">
        <v>0.2986111111111111</v>
      </c>
      <c r="E41" s="3">
        <v>0.83333333333333337</v>
      </c>
      <c r="F41" s="3">
        <v>6.25E-2</v>
      </c>
      <c r="G41" s="3">
        <f t="shared" si="0"/>
        <v>0.47222222222222232</v>
      </c>
      <c r="H41" s="11"/>
    </row>
    <row r="42" spans="1:9">
      <c r="A42" s="2">
        <v>40821</v>
      </c>
      <c r="B42" s="1" t="s">
        <v>10</v>
      </c>
      <c r="D42" s="3">
        <v>0.2986111111111111</v>
      </c>
      <c r="E42" s="3">
        <v>0.83333333333333337</v>
      </c>
      <c r="F42" s="3">
        <v>3.125E-2</v>
      </c>
      <c r="G42" s="3">
        <f t="shared" si="0"/>
        <v>0.50347222222222232</v>
      </c>
      <c r="H42" s="11"/>
    </row>
    <row r="43" spans="1:9">
      <c r="A43" s="2">
        <v>40822</v>
      </c>
      <c r="B43" s="1" t="s">
        <v>11</v>
      </c>
      <c r="D43" s="3">
        <v>0.2986111111111111</v>
      </c>
      <c r="E43" s="3">
        <v>0.70833333333333337</v>
      </c>
      <c r="F43" s="3">
        <v>6.25E-2</v>
      </c>
      <c r="G43" s="3">
        <f t="shared" si="0"/>
        <v>0.34722222222222227</v>
      </c>
      <c r="H43" s="11"/>
    </row>
    <row r="44" spans="1:9">
      <c r="A44" s="2">
        <v>40823</v>
      </c>
      <c r="B44" s="1" t="s">
        <v>12</v>
      </c>
      <c r="D44" s="3">
        <v>0.30208333333333331</v>
      </c>
      <c r="E44" s="3">
        <v>0.86458333333333337</v>
      </c>
      <c r="F44" s="3">
        <v>4.1666666666666664E-2</v>
      </c>
      <c r="G44" s="3">
        <f t="shared" si="0"/>
        <v>0.52083333333333337</v>
      </c>
      <c r="H44" s="11"/>
    </row>
    <row r="45" spans="1:9">
      <c r="A45" s="2">
        <v>40824</v>
      </c>
      <c r="B45" s="1" t="s">
        <v>13</v>
      </c>
      <c r="G45" s="3">
        <f t="shared" si="0"/>
        <v>0</v>
      </c>
      <c r="H45" s="11"/>
      <c r="I45" s="4" t="s">
        <v>27</v>
      </c>
    </row>
    <row r="46" spans="1:9">
      <c r="A46" s="2">
        <v>40825</v>
      </c>
      <c r="B46" s="1" t="s">
        <v>14</v>
      </c>
      <c r="G46" s="3">
        <f t="shared" si="0"/>
        <v>0</v>
      </c>
      <c r="H46" s="11">
        <f>SUM(G40:G46)</f>
        <v>2.3194444444444451</v>
      </c>
      <c r="I46" s="4" t="s">
        <v>27</v>
      </c>
    </row>
    <row r="47" spans="1:9">
      <c r="A47" s="2">
        <v>40826</v>
      </c>
      <c r="B47" s="1" t="s">
        <v>8</v>
      </c>
      <c r="C47" s="1">
        <f>C40+1</f>
        <v>41</v>
      </c>
      <c r="D47" s="3">
        <v>0.2986111111111111</v>
      </c>
      <c r="E47" s="3">
        <v>0.79166666666666663</v>
      </c>
      <c r="F47" s="3">
        <v>5.5555555555555552E-2</v>
      </c>
      <c r="G47" s="3">
        <f t="shared" si="0"/>
        <v>0.4375</v>
      </c>
      <c r="H47" s="11"/>
    </row>
    <row r="48" spans="1:9">
      <c r="A48" s="2">
        <v>40827</v>
      </c>
      <c r="B48" s="1" t="s">
        <v>9</v>
      </c>
      <c r="D48" s="3">
        <v>0.30208333333333331</v>
      </c>
      <c r="E48" s="3">
        <v>0.78472222222222221</v>
      </c>
      <c r="F48" s="3">
        <v>2.0833333333333332E-2</v>
      </c>
      <c r="G48" s="3">
        <f t="shared" si="0"/>
        <v>0.46180555555555558</v>
      </c>
      <c r="H48" s="11"/>
    </row>
    <row r="49" spans="1:9">
      <c r="A49" s="2">
        <v>40828</v>
      </c>
      <c r="B49" s="1" t="s">
        <v>10</v>
      </c>
      <c r="D49" s="3">
        <v>0.34027777777777773</v>
      </c>
      <c r="E49" s="3">
        <v>0.87847222222222221</v>
      </c>
      <c r="F49" s="3">
        <v>2.0833333333333332E-2</v>
      </c>
      <c r="G49" s="3">
        <f t="shared" si="0"/>
        <v>0.51736111111111105</v>
      </c>
      <c r="H49" s="11"/>
    </row>
    <row r="50" spans="1:9">
      <c r="A50" s="2">
        <v>40829</v>
      </c>
      <c r="B50" s="1" t="s">
        <v>11</v>
      </c>
      <c r="D50" s="3">
        <v>0.2986111111111111</v>
      </c>
      <c r="E50" s="3">
        <v>0.86458333333333337</v>
      </c>
      <c r="F50" s="3">
        <v>7.2916666666666671E-2</v>
      </c>
      <c r="G50" s="3">
        <f t="shared" si="0"/>
        <v>0.49305555555555564</v>
      </c>
      <c r="H50" s="11"/>
    </row>
    <row r="51" spans="1:9">
      <c r="A51" s="2">
        <v>40830</v>
      </c>
      <c r="B51" s="1" t="s">
        <v>12</v>
      </c>
      <c r="D51" s="3">
        <v>0.32291666666666669</v>
      </c>
      <c r="E51" s="3">
        <v>0.8125</v>
      </c>
      <c r="F51" s="3">
        <v>4.5138888888888888E-2</v>
      </c>
      <c r="G51" s="3">
        <f t="shared" si="0"/>
        <v>0.44444444444444442</v>
      </c>
      <c r="H51" s="11"/>
    </row>
    <row r="52" spans="1:9">
      <c r="A52" s="2">
        <v>40831</v>
      </c>
      <c r="B52" s="1" t="s">
        <v>13</v>
      </c>
      <c r="G52" s="3">
        <f t="shared" si="0"/>
        <v>0</v>
      </c>
      <c r="H52" s="11"/>
      <c r="I52" s="4" t="s">
        <v>28</v>
      </c>
    </row>
    <row r="53" spans="1:9">
      <c r="A53" s="2">
        <v>40832</v>
      </c>
      <c r="B53" s="1" t="s">
        <v>14</v>
      </c>
      <c r="G53" s="3">
        <f t="shared" si="0"/>
        <v>0</v>
      </c>
      <c r="H53" s="11">
        <f>SUM(G47:G53)</f>
        <v>2.3541666666666665</v>
      </c>
      <c r="I53" s="4" t="s">
        <v>28</v>
      </c>
    </row>
    <row r="54" spans="1:9">
      <c r="A54" s="2">
        <v>40833</v>
      </c>
      <c r="B54" s="1" t="s">
        <v>8</v>
      </c>
      <c r="C54" s="1">
        <f>C47+1</f>
        <v>42</v>
      </c>
      <c r="D54" s="3">
        <v>0.2986111111111111</v>
      </c>
      <c r="E54" s="3">
        <v>0.77083333333333337</v>
      </c>
      <c r="F54" s="3">
        <v>4.1666666666666664E-2</v>
      </c>
      <c r="G54" s="3">
        <f t="shared" si="0"/>
        <v>0.43055555555555558</v>
      </c>
      <c r="H54" s="11"/>
    </row>
    <row r="55" spans="1:9">
      <c r="A55" s="2">
        <v>40834</v>
      </c>
      <c r="B55" s="1" t="s">
        <v>9</v>
      </c>
      <c r="D55" s="3">
        <v>0.2986111111111111</v>
      </c>
      <c r="E55" s="3">
        <v>0.77777777777777779</v>
      </c>
      <c r="F55" s="3">
        <v>4.1666666666666664E-2</v>
      </c>
      <c r="G55" s="3">
        <f t="shared" si="0"/>
        <v>0.4375</v>
      </c>
      <c r="H55" s="11"/>
    </row>
    <row r="56" spans="1:9">
      <c r="A56" s="2">
        <v>40835</v>
      </c>
      <c r="B56" s="1" t="s">
        <v>10</v>
      </c>
      <c r="D56" s="3">
        <v>0.2986111111111111</v>
      </c>
      <c r="E56" s="3">
        <v>0.77430555555555547</v>
      </c>
      <c r="F56" s="3">
        <v>4.1666666666666664E-2</v>
      </c>
      <c r="G56" s="3">
        <f t="shared" si="0"/>
        <v>0.43402777777777768</v>
      </c>
      <c r="H56" s="11"/>
    </row>
    <row r="57" spans="1:9">
      <c r="A57" s="2">
        <v>40836</v>
      </c>
      <c r="B57" s="1" t="s">
        <v>11</v>
      </c>
      <c r="D57" s="3">
        <v>0.30208333333333331</v>
      </c>
      <c r="E57" s="3">
        <v>0.8125</v>
      </c>
      <c r="F57" s="3">
        <v>4.1666666666666664E-2</v>
      </c>
      <c r="G57" s="3">
        <f t="shared" si="0"/>
        <v>0.46875000000000006</v>
      </c>
      <c r="H57" s="11"/>
      <c r="I57" s="4" t="s">
        <v>29</v>
      </c>
    </row>
    <row r="58" spans="1:9">
      <c r="A58" s="2">
        <v>40837</v>
      </c>
      <c r="B58" s="1" t="s">
        <v>12</v>
      </c>
      <c r="D58" s="3">
        <v>0.2986111111111111</v>
      </c>
      <c r="E58" s="3">
        <v>0.69097222222222221</v>
      </c>
      <c r="F58" s="3">
        <v>4.1666666666666664E-2</v>
      </c>
      <c r="G58" s="3">
        <f t="shared" si="0"/>
        <v>0.35069444444444442</v>
      </c>
      <c r="H58" s="11"/>
    </row>
    <row r="59" spans="1:9">
      <c r="A59" s="2">
        <v>40838</v>
      </c>
      <c r="B59" s="1" t="s">
        <v>13</v>
      </c>
      <c r="G59" s="3">
        <f t="shared" si="0"/>
        <v>0</v>
      </c>
      <c r="H59" s="11"/>
      <c r="I59" s="4" t="s">
        <v>31</v>
      </c>
    </row>
    <row r="60" spans="1:9">
      <c r="A60" s="2">
        <v>40839</v>
      </c>
      <c r="B60" s="1" t="s">
        <v>14</v>
      </c>
      <c r="G60" s="3">
        <f t="shared" si="0"/>
        <v>0</v>
      </c>
      <c r="H60" s="11">
        <f>SUM(G54:G60)</f>
        <v>2.1215277777777777</v>
      </c>
    </row>
    <row r="61" spans="1:9">
      <c r="A61" s="2">
        <v>40840</v>
      </c>
      <c r="B61" s="1" t="s">
        <v>8</v>
      </c>
      <c r="C61" s="1">
        <f>C54+1</f>
        <v>43</v>
      </c>
      <c r="D61" s="3">
        <v>0.30208333333333331</v>
      </c>
      <c r="E61" s="3">
        <v>0.83333333333333337</v>
      </c>
      <c r="F61" s="3">
        <v>4.1666666666666664E-2</v>
      </c>
      <c r="G61" s="3">
        <f t="shared" si="0"/>
        <v>0.48958333333333331</v>
      </c>
      <c r="H61" s="11"/>
    </row>
    <row r="62" spans="1:9">
      <c r="A62" s="2">
        <v>40841</v>
      </c>
      <c r="B62" s="1" t="s">
        <v>9</v>
      </c>
      <c r="D62" s="3">
        <v>0.30208333333333331</v>
      </c>
      <c r="E62" s="3">
        <v>0.80555555555555547</v>
      </c>
      <c r="F62" s="3">
        <v>3.125E-2</v>
      </c>
      <c r="G62" s="3">
        <f t="shared" si="0"/>
        <v>0.4722222222222221</v>
      </c>
      <c r="H62" s="11"/>
    </row>
    <row r="63" spans="1:9">
      <c r="A63" s="2">
        <v>40842</v>
      </c>
      <c r="B63" s="1" t="s">
        <v>10</v>
      </c>
      <c r="D63" s="3"/>
      <c r="F63" s="3"/>
      <c r="G63" s="3">
        <f t="shared" si="0"/>
        <v>0</v>
      </c>
      <c r="H63" s="11"/>
      <c r="I63" s="4" t="s">
        <v>30</v>
      </c>
    </row>
    <row r="64" spans="1:9">
      <c r="A64" s="2">
        <v>40843</v>
      </c>
      <c r="B64" s="1" t="s">
        <v>11</v>
      </c>
      <c r="D64" s="3">
        <v>0.30208333333333331</v>
      </c>
      <c r="E64" s="3">
        <v>0.85416666666666663</v>
      </c>
      <c r="F64" s="3">
        <v>3.125E-2</v>
      </c>
      <c r="G64" s="3">
        <f t="shared" si="0"/>
        <v>0.52083333333333326</v>
      </c>
      <c r="H64" s="11"/>
    </row>
    <row r="65" spans="1:8">
      <c r="A65" s="2">
        <v>40844</v>
      </c>
      <c r="B65" s="1" t="s">
        <v>12</v>
      </c>
      <c r="D65" s="3">
        <v>0.2986111111111111</v>
      </c>
      <c r="E65" s="3">
        <v>0.875</v>
      </c>
      <c r="F65" s="3">
        <v>5.2083333333333336E-2</v>
      </c>
      <c r="G65" s="3">
        <f t="shared" si="0"/>
        <v>0.52430555555555547</v>
      </c>
      <c r="H65" s="11"/>
    </row>
    <row r="66" spans="1:8">
      <c r="A66" s="2">
        <v>40845</v>
      </c>
      <c r="B66" s="1" t="s">
        <v>13</v>
      </c>
      <c r="G66" s="3">
        <f t="shared" si="0"/>
        <v>0</v>
      </c>
      <c r="H66" s="11"/>
    </row>
    <row r="67" spans="1:8">
      <c r="A67" s="2">
        <v>40846</v>
      </c>
      <c r="B67" s="1" t="s">
        <v>14</v>
      </c>
      <c r="G67" s="3">
        <f t="shared" si="0"/>
        <v>0</v>
      </c>
      <c r="H67" s="11">
        <f>SUM(G61:G67)</f>
        <v>2.0069444444444442</v>
      </c>
    </row>
    <row r="68" spans="1:8">
      <c r="A68" s="2">
        <v>40847</v>
      </c>
      <c r="B68" s="1" t="s">
        <v>8</v>
      </c>
      <c r="C68" s="1">
        <f>C61+1</f>
        <v>44</v>
      </c>
      <c r="D68" s="3">
        <v>0.30208333333333331</v>
      </c>
      <c r="E68" s="3">
        <v>0.79861111111111116</v>
      </c>
      <c r="F68" s="3">
        <v>4.1666666666666664E-2</v>
      </c>
      <c r="G68" s="3">
        <f t="shared" si="0"/>
        <v>0.45486111111111116</v>
      </c>
      <c r="H68" s="6"/>
    </row>
    <row r="69" spans="1:8">
      <c r="A69" s="2">
        <v>40848</v>
      </c>
      <c r="B69" s="1" t="s">
        <v>9</v>
      </c>
      <c r="D69" s="3">
        <v>0.30208333333333331</v>
      </c>
      <c r="E69" s="3">
        <v>0.8125</v>
      </c>
      <c r="F69" s="3">
        <v>5.2083333333333336E-2</v>
      </c>
      <c r="G69" s="3">
        <f t="shared" si="0"/>
        <v>0.45833333333333343</v>
      </c>
      <c r="H69" s="6"/>
    </row>
    <row r="70" spans="1:8">
      <c r="A70" s="2">
        <v>40849</v>
      </c>
      <c r="B70" s="1" t="s">
        <v>10</v>
      </c>
      <c r="D70" s="3">
        <v>0.30208333333333331</v>
      </c>
      <c r="E70" s="3">
        <v>0.79861111111111116</v>
      </c>
      <c r="F70" s="3">
        <v>6.25E-2</v>
      </c>
      <c r="G70" s="3">
        <f t="shared" si="0"/>
        <v>0.43402777777777785</v>
      </c>
      <c r="H70" s="6"/>
    </row>
    <row r="71" spans="1:8">
      <c r="A71" s="2">
        <v>40850</v>
      </c>
      <c r="B71" s="1" t="s">
        <v>11</v>
      </c>
      <c r="D71" s="3">
        <v>0.30208333333333331</v>
      </c>
      <c r="E71" s="3">
        <v>0.78472222222222221</v>
      </c>
      <c r="F71" s="3">
        <v>5.2083333333333336E-2</v>
      </c>
      <c r="G71" s="3">
        <f t="shared" ref="G71:G134" si="1">E71-D71-F71</f>
        <v>0.43055555555555558</v>
      </c>
      <c r="H71" s="6"/>
    </row>
    <row r="72" spans="1:8">
      <c r="A72" s="2">
        <v>40851</v>
      </c>
      <c r="B72" s="1" t="s">
        <v>12</v>
      </c>
      <c r="D72" s="3">
        <v>0.30208333333333331</v>
      </c>
      <c r="E72" s="3">
        <v>0.86805555555555547</v>
      </c>
      <c r="F72" s="3">
        <v>4.1666666666666664E-2</v>
      </c>
      <c r="G72" s="3">
        <f t="shared" si="1"/>
        <v>0.52430555555555547</v>
      </c>
      <c r="H72" s="6"/>
    </row>
    <row r="73" spans="1:8">
      <c r="A73" s="2">
        <v>40852</v>
      </c>
      <c r="B73" s="1" t="s">
        <v>13</v>
      </c>
      <c r="G73" s="3">
        <f t="shared" si="1"/>
        <v>0</v>
      </c>
      <c r="H73" s="6"/>
    </row>
    <row r="74" spans="1:8">
      <c r="A74" s="2">
        <v>40853</v>
      </c>
      <c r="B74" s="1" t="s">
        <v>14</v>
      </c>
      <c r="G74" s="3">
        <f t="shared" si="1"/>
        <v>0</v>
      </c>
      <c r="H74" s="11">
        <f>SUM(G68:G74)</f>
        <v>2.3020833333333335</v>
      </c>
    </row>
    <row r="75" spans="1:8">
      <c r="A75" s="2">
        <v>40854</v>
      </c>
      <c r="B75" s="1" t="s">
        <v>8</v>
      </c>
      <c r="C75" s="1">
        <f>C68+1</f>
        <v>45</v>
      </c>
      <c r="D75" s="3">
        <v>0.2986111111111111</v>
      </c>
      <c r="E75" s="3">
        <v>0.94791666666666663</v>
      </c>
      <c r="F75" s="3">
        <v>4.1666666666666664E-2</v>
      </c>
      <c r="G75" s="3">
        <f t="shared" si="1"/>
        <v>0.60763888888888895</v>
      </c>
      <c r="H75" s="11"/>
    </row>
    <row r="76" spans="1:8">
      <c r="A76" s="2">
        <v>40855</v>
      </c>
      <c r="B76" s="1" t="s">
        <v>9</v>
      </c>
      <c r="D76" s="3">
        <v>0.30208333333333331</v>
      </c>
      <c r="E76" s="3">
        <v>0.73958333333333337</v>
      </c>
      <c r="F76" s="3">
        <v>4.1666666666666664E-2</v>
      </c>
      <c r="G76" s="3">
        <f t="shared" si="1"/>
        <v>0.39583333333333337</v>
      </c>
      <c r="H76" s="11"/>
    </row>
    <row r="77" spans="1:8">
      <c r="A77" s="2">
        <v>40856</v>
      </c>
      <c r="B77" s="1" t="s">
        <v>10</v>
      </c>
      <c r="D77" s="3">
        <v>0.30208333333333331</v>
      </c>
      <c r="E77" s="3">
        <v>0.78125</v>
      </c>
      <c r="F77" s="3">
        <v>4.1666666666666664E-2</v>
      </c>
      <c r="G77" s="3">
        <f t="shared" si="1"/>
        <v>0.4375</v>
      </c>
      <c r="H77" s="11"/>
    </row>
    <row r="78" spans="1:8">
      <c r="A78" s="2">
        <v>40857</v>
      </c>
      <c r="B78" s="1" t="s">
        <v>11</v>
      </c>
      <c r="D78" s="3">
        <v>0.30208333333333331</v>
      </c>
      <c r="E78" s="3">
        <v>0.80208333333333337</v>
      </c>
      <c r="F78" s="3">
        <v>4.1666666666666664E-2</v>
      </c>
      <c r="G78" s="3">
        <f t="shared" si="1"/>
        <v>0.45833333333333331</v>
      </c>
      <c r="H78" s="11"/>
    </row>
    <row r="79" spans="1:8">
      <c r="A79" s="2">
        <v>40858</v>
      </c>
      <c r="B79" s="1" t="s">
        <v>12</v>
      </c>
      <c r="D79" s="3">
        <v>0.30555555555555552</v>
      </c>
      <c r="E79" s="3">
        <v>0.77083333333333337</v>
      </c>
      <c r="F79" s="3">
        <v>2.0833333333333332E-2</v>
      </c>
      <c r="G79" s="3">
        <f t="shared" si="1"/>
        <v>0.44444444444444453</v>
      </c>
      <c r="H79" s="11"/>
    </row>
    <row r="80" spans="1:8">
      <c r="A80" s="2">
        <v>40859</v>
      </c>
      <c r="B80" s="1" t="s">
        <v>13</v>
      </c>
      <c r="G80" s="3">
        <f t="shared" si="1"/>
        <v>0</v>
      </c>
      <c r="H80" s="11"/>
    </row>
    <row r="81" spans="1:9">
      <c r="A81" s="2">
        <v>40860</v>
      </c>
      <c r="B81" s="1" t="s">
        <v>14</v>
      </c>
      <c r="G81" s="3">
        <f t="shared" si="1"/>
        <v>0</v>
      </c>
      <c r="H81" s="11">
        <f>SUM(G75:G81)</f>
        <v>2.34375</v>
      </c>
    </row>
    <row r="82" spans="1:9">
      <c r="A82" s="2">
        <v>40861</v>
      </c>
      <c r="B82" s="1" t="s">
        <v>8</v>
      </c>
      <c r="C82" s="1">
        <f>C75+1</f>
        <v>46</v>
      </c>
      <c r="D82" s="3">
        <v>0.30208333333333331</v>
      </c>
      <c r="E82" s="3">
        <v>0.77083333333333337</v>
      </c>
      <c r="F82" s="3">
        <v>5.2083333333333336E-2</v>
      </c>
      <c r="G82" s="3">
        <f t="shared" si="1"/>
        <v>0.41666666666666674</v>
      </c>
      <c r="H82" s="11"/>
    </row>
    <row r="83" spans="1:9">
      <c r="A83" s="2">
        <v>40862</v>
      </c>
      <c r="B83" s="1" t="s">
        <v>9</v>
      </c>
      <c r="D83" s="3">
        <v>0.30555555555555552</v>
      </c>
      <c r="E83" s="3">
        <v>0.70138888888888884</v>
      </c>
      <c r="F83" s="3">
        <v>2.0833333333333332E-2</v>
      </c>
      <c r="G83" s="3">
        <f t="shared" si="1"/>
        <v>0.375</v>
      </c>
      <c r="H83" s="11"/>
    </row>
    <row r="84" spans="1:9">
      <c r="A84" s="2">
        <v>40863</v>
      </c>
      <c r="B84" s="1" t="s">
        <v>10</v>
      </c>
      <c r="D84" s="3">
        <v>0.30555555555555552</v>
      </c>
      <c r="E84" s="3">
        <v>0.71527777777777779</v>
      </c>
      <c r="F84" s="3">
        <v>4.1666666666666664E-2</v>
      </c>
      <c r="G84" s="3">
        <f t="shared" si="1"/>
        <v>0.36805555555555558</v>
      </c>
      <c r="H84" s="11"/>
    </row>
    <row r="85" spans="1:9">
      <c r="A85" s="2">
        <v>40864</v>
      </c>
      <c r="B85" s="1" t="s">
        <v>11</v>
      </c>
      <c r="D85" s="3">
        <v>0.30555555555555552</v>
      </c>
      <c r="E85" s="3">
        <v>0.75</v>
      </c>
      <c r="F85" s="3">
        <v>4.1666666666666664E-2</v>
      </c>
      <c r="G85" s="3">
        <f t="shared" si="1"/>
        <v>0.40277777777777779</v>
      </c>
      <c r="H85" s="11"/>
    </row>
    <row r="86" spans="1:9">
      <c r="A86" s="2">
        <v>40865</v>
      </c>
      <c r="B86" s="1" t="s">
        <v>12</v>
      </c>
      <c r="D86" s="3">
        <v>0.2986111111111111</v>
      </c>
      <c r="E86" s="3">
        <v>0.79166666666666663</v>
      </c>
      <c r="F86" s="3">
        <v>4.1666666666666664E-2</v>
      </c>
      <c r="G86" s="3">
        <f t="shared" si="1"/>
        <v>0.45138888888888884</v>
      </c>
      <c r="H86" s="11"/>
    </row>
    <row r="87" spans="1:9">
      <c r="A87" s="2">
        <v>40866</v>
      </c>
      <c r="B87" s="1" t="s">
        <v>13</v>
      </c>
      <c r="G87" s="3">
        <f t="shared" si="1"/>
        <v>0</v>
      </c>
      <c r="H87" s="11"/>
    </row>
    <row r="88" spans="1:9">
      <c r="A88" s="2">
        <v>40867</v>
      </c>
      <c r="B88" s="1" t="s">
        <v>14</v>
      </c>
      <c r="G88" s="3">
        <f t="shared" si="1"/>
        <v>0</v>
      </c>
      <c r="H88" s="11">
        <f>SUM(G82:G88)</f>
        <v>2.0138888888888888</v>
      </c>
    </row>
    <row r="89" spans="1:9">
      <c r="A89" s="2">
        <v>40868</v>
      </c>
      <c r="B89" s="1" t="s">
        <v>8</v>
      </c>
      <c r="C89" s="1">
        <f>C82+1</f>
        <v>47</v>
      </c>
      <c r="D89" s="3">
        <v>0.2986111111111111</v>
      </c>
      <c r="E89" s="3">
        <v>0.72222222222222221</v>
      </c>
      <c r="F89" s="3">
        <v>3.8194444444444441E-2</v>
      </c>
      <c r="G89" s="3">
        <f t="shared" si="1"/>
        <v>0.38541666666666669</v>
      </c>
      <c r="H89" s="6"/>
    </row>
    <row r="90" spans="1:9">
      <c r="A90" s="2">
        <v>40869</v>
      </c>
      <c r="B90" s="1" t="s">
        <v>9</v>
      </c>
      <c r="D90" s="3">
        <v>0.30902777777777779</v>
      </c>
      <c r="E90" s="3">
        <v>0.77430555555555547</v>
      </c>
      <c r="F90" s="3">
        <v>3.125E-2</v>
      </c>
      <c r="G90" s="3">
        <f t="shared" si="1"/>
        <v>0.43402777777777768</v>
      </c>
      <c r="H90" s="6"/>
    </row>
    <row r="91" spans="1:9">
      <c r="A91" s="2">
        <v>40870</v>
      </c>
      <c r="B91" s="1" t="s">
        <v>10</v>
      </c>
      <c r="G91" s="3">
        <f t="shared" si="1"/>
        <v>0</v>
      </c>
      <c r="H91" s="6"/>
      <c r="I91" s="4" t="s">
        <v>32</v>
      </c>
    </row>
    <row r="92" spans="1:9">
      <c r="A92" s="2">
        <v>40871</v>
      </c>
      <c r="B92" s="1" t="s">
        <v>11</v>
      </c>
      <c r="D92" s="3">
        <v>0.30555555555555552</v>
      </c>
      <c r="E92" s="3">
        <v>0.75347222222222221</v>
      </c>
      <c r="F92" s="3">
        <v>4.1666666666666664E-2</v>
      </c>
      <c r="G92" s="3">
        <f t="shared" si="1"/>
        <v>0.40625</v>
      </c>
      <c r="H92" s="6"/>
    </row>
    <row r="93" spans="1:9">
      <c r="A93" s="2">
        <v>40872</v>
      </c>
      <c r="B93" s="1" t="s">
        <v>12</v>
      </c>
      <c r="D93" s="3">
        <v>0.30902777777777779</v>
      </c>
      <c r="E93" s="3">
        <v>0.76736111111111116</v>
      </c>
      <c r="F93" s="3">
        <v>6.25E-2</v>
      </c>
      <c r="G93" s="3">
        <f t="shared" si="1"/>
        <v>0.39583333333333337</v>
      </c>
      <c r="H93" s="6"/>
    </row>
    <row r="94" spans="1:9">
      <c r="A94" s="2">
        <v>40873</v>
      </c>
      <c r="B94" s="1" t="s">
        <v>13</v>
      </c>
      <c r="G94" s="3">
        <f t="shared" si="1"/>
        <v>0</v>
      </c>
      <c r="H94" s="6"/>
    </row>
    <row r="95" spans="1:9">
      <c r="A95" s="2">
        <v>40874</v>
      </c>
      <c r="B95" s="1" t="s">
        <v>14</v>
      </c>
      <c r="G95" s="3">
        <f t="shared" si="1"/>
        <v>0</v>
      </c>
      <c r="H95" s="11">
        <f>SUM(G89:G95)</f>
        <v>1.6215277777777777</v>
      </c>
    </row>
    <row r="96" spans="1:9">
      <c r="A96" s="2">
        <v>40875</v>
      </c>
      <c r="B96" s="1" t="s">
        <v>8</v>
      </c>
      <c r="C96" s="1">
        <f>C89+1</f>
        <v>48</v>
      </c>
      <c r="D96" s="3">
        <v>0.30555555555555552</v>
      </c>
      <c r="E96" s="3">
        <v>0.72222222222222221</v>
      </c>
      <c r="F96" s="3">
        <v>5.2083333333333336E-2</v>
      </c>
      <c r="G96" s="3">
        <f t="shared" si="1"/>
        <v>0.36458333333333337</v>
      </c>
      <c r="H96" s="11"/>
    </row>
    <row r="97" spans="1:9">
      <c r="A97" s="2">
        <v>40876</v>
      </c>
      <c r="B97" s="1" t="s">
        <v>9</v>
      </c>
      <c r="D97" s="3">
        <v>0.30555555555555552</v>
      </c>
      <c r="E97" s="3">
        <v>0.77083333333333337</v>
      </c>
      <c r="F97" s="3">
        <v>4.1666666666666664E-2</v>
      </c>
      <c r="G97" s="3">
        <f t="shared" si="1"/>
        <v>0.42361111111111116</v>
      </c>
      <c r="H97" s="11"/>
    </row>
    <row r="98" spans="1:9">
      <c r="A98" s="2">
        <v>40877</v>
      </c>
      <c r="B98" s="1" t="s">
        <v>10</v>
      </c>
      <c r="D98" s="3">
        <v>0.30555555555555552</v>
      </c>
      <c r="E98" s="3">
        <v>0.75694444444444453</v>
      </c>
      <c r="F98" s="3">
        <v>5.2083333333333336E-2</v>
      </c>
      <c r="G98" s="3">
        <f t="shared" si="1"/>
        <v>0.39930555555555569</v>
      </c>
      <c r="H98" s="11"/>
    </row>
    <row r="99" spans="1:9">
      <c r="A99" s="2">
        <v>40878</v>
      </c>
      <c r="B99" s="1" t="s">
        <v>11</v>
      </c>
      <c r="D99" s="3">
        <v>0.30555555555555552</v>
      </c>
      <c r="E99" s="3">
        <v>0.79166666666666663</v>
      </c>
      <c r="F99" s="3">
        <v>6.9444444444444434E-2</v>
      </c>
      <c r="G99" s="3">
        <f t="shared" si="1"/>
        <v>0.41666666666666669</v>
      </c>
      <c r="H99" s="11"/>
    </row>
    <row r="100" spans="1:9">
      <c r="A100" s="2">
        <v>40879</v>
      </c>
      <c r="B100" s="1" t="s">
        <v>12</v>
      </c>
      <c r="D100" s="3">
        <v>0.30555555555555552</v>
      </c>
      <c r="E100" s="3">
        <v>0.70138888888888884</v>
      </c>
      <c r="F100" s="3">
        <v>2.0833333333333332E-2</v>
      </c>
      <c r="G100" s="3">
        <f t="shared" si="1"/>
        <v>0.375</v>
      </c>
      <c r="H100" s="11"/>
    </row>
    <row r="101" spans="1:9">
      <c r="A101" s="2">
        <v>40880</v>
      </c>
      <c r="B101" s="1" t="s">
        <v>13</v>
      </c>
      <c r="G101" s="3">
        <f t="shared" si="1"/>
        <v>0</v>
      </c>
      <c r="H101" s="11"/>
    </row>
    <row r="102" spans="1:9">
      <c r="A102" s="2">
        <v>40881</v>
      </c>
      <c r="B102" s="1" t="s">
        <v>14</v>
      </c>
      <c r="G102" s="3">
        <f t="shared" si="1"/>
        <v>0</v>
      </c>
      <c r="H102" s="11">
        <f>SUM(G96:G102)</f>
        <v>1.979166666666667</v>
      </c>
    </row>
    <row r="103" spans="1:9">
      <c r="A103" s="2">
        <v>40882</v>
      </c>
      <c r="B103" s="1" t="s">
        <v>8</v>
      </c>
      <c r="C103" s="1">
        <f>C96+1</f>
        <v>49</v>
      </c>
      <c r="D103" s="3">
        <v>0.30555555555555552</v>
      </c>
      <c r="E103" s="3">
        <v>0.72916666666666663</v>
      </c>
      <c r="F103" s="3">
        <v>5.2083333333333336E-2</v>
      </c>
      <c r="G103" s="3">
        <f t="shared" si="1"/>
        <v>0.37152777777777779</v>
      </c>
      <c r="H103" s="11"/>
    </row>
    <row r="104" spans="1:9">
      <c r="A104" s="2">
        <v>40883</v>
      </c>
      <c r="B104" s="1" t="s">
        <v>9</v>
      </c>
      <c r="D104" s="3">
        <v>0.30555555555555552</v>
      </c>
      <c r="E104" s="3">
        <v>0.75</v>
      </c>
      <c r="F104" s="3">
        <v>5.2083333333333336E-2</v>
      </c>
      <c r="G104" s="3">
        <f t="shared" si="1"/>
        <v>0.39236111111111116</v>
      </c>
      <c r="H104" s="11"/>
    </row>
    <row r="105" spans="1:9">
      <c r="A105" s="2">
        <v>40884</v>
      </c>
      <c r="B105" s="1" t="s">
        <v>10</v>
      </c>
      <c r="D105" s="3">
        <v>0.30902777777777779</v>
      </c>
      <c r="E105" s="3">
        <v>0.74305555555555547</v>
      </c>
      <c r="F105" s="3">
        <v>4.1666666666666664E-2</v>
      </c>
      <c r="G105" s="3">
        <f t="shared" si="1"/>
        <v>0.39236111111111099</v>
      </c>
      <c r="H105" s="11"/>
    </row>
    <row r="106" spans="1:9">
      <c r="A106" s="2">
        <v>40885</v>
      </c>
      <c r="B106" s="1" t="s">
        <v>11</v>
      </c>
      <c r="D106" s="3">
        <v>0.30902777777777779</v>
      </c>
      <c r="E106" s="3">
        <v>0.72569444444444453</v>
      </c>
      <c r="F106" s="3">
        <v>6.25E-2</v>
      </c>
      <c r="G106" s="3">
        <f t="shared" si="1"/>
        <v>0.35416666666666674</v>
      </c>
      <c r="H106" s="11"/>
    </row>
    <row r="107" spans="1:9">
      <c r="A107" s="2">
        <v>40886</v>
      </c>
      <c r="B107" s="1" t="s">
        <v>12</v>
      </c>
      <c r="D107" s="3">
        <v>0.30902777777777779</v>
      </c>
      <c r="E107" s="3">
        <v>0.63888888888888895</v>
      </c>
      <c r="F107" s="3">
        <v>4.1666666666666664E-2</v>
      </c>
      <c r="G107" s="3">
        <f t="shared" si="1"/>
        <v>0.28819444444444448</v>
      </c>
      <c r="H107" s="11"/>
    </row>
    <row r="108" spans="1:9">
      <c r="A108" s="2">
        <v>40887</v>
      </c>
      <c r="B108" s="1" t="s">
        <v>13</v>
      </c>
      <c r="G108" s="3">
        <f t="shared" si="1"/>
        <v>0</v>
      </c>
      <c r="H108" s="11"/>
    </row>
    <row r="109" spans="1:9">
      <c r="A109" s="2">
        <v>40888</v>
      </c>
      <c r="B109" s="1" t="s">
        <v>14</v>
      </c>
      <c r="G109" s="3">
        <f t="shared" si="1"/>
        <v>0</v>
      </c>
      <c r="H109" s="11">
        <f>SUM(G103:G109)</f>
        <v>1.7986111111111112</v>
      </c>
      <c r="I109" s="4" t="s">
        <v>34</v>
      </c>
    </row>
    <row r="110" spans="1:9">
      <c r="A110" s="2">
        <v>40889</v>
      </c>
      <c r="B110" s="1" t="s">
        <v>8</v>
      </c>
      <c r="C110" s="1">
        <f>C103+1</f>
        <v>50</v>
      </c>
      <c r="D110" s="3">
        <v>0.30555555555555552</v>
      </c>
      <c r="E110" s="3">
        <v>0.74652777777777779</v>
      </c>
      <c r="F110" s="3">
        <v>2.0833333333333332E-2</v>
      </c>
      <c r="G110" s="3">
        <f t="shared" si="1"/>
        <v>0.42013888888888895</v>
      </c>
      <c r="H110" s="11"/>
    </row>
    <row r="111" spans="1:9">
      <c r="A111" s="2">
        <v>40890</v>
      </c>
      <c r="B111" s="1" t="s">
        <v>9</v>
      </c>
      <c r="D111" s="3">
        <v>0.30555555555555552</v>
      </c>
      <c r="E111" s="3">
        <v>0.78819444444444453</v>
      </c>
      <c r="F111" s="3">
        <v>2.0833333333333332E-2</v>
      </c>
      <c r="G111" s="3">
        <f t="shared" si="1"/>
        <v>0.46180555555555569</v>
      </c>
      <c r="H111" s="11"/>
    </row>
    <row r="112" spans="1:9">
      <c r="A112" s="2">
        <v>40891</v>
      </c>
      <c r="B112" s="1" t="s">
        <v>10</v>
      </c>
      <c r="D112" s="3">
        <v>0.3125</v>
      </c>
      <c r="E112" s="3">
        <v>0.76388888888888884</v>
      </c>
      <c r="F112" s="3">
        <v>2.7777777777777776E-2</v>
      </c>
      <c r="G112" s="3">
        <f t="shared" si="1"/>
        <v>0.42361111111111105</v>
      </c>
      <c r="H112" s="11"/>
    </row>
    <row r="113" spans="1:9">
      <c r="A113" s="2">
        <v>40892</v>
      </c>
      <c r="B113" s="1" t="s">
        <v>11</v>
      </c>
      <c r="D113" s="3">
        <v>0.30902777777777779</v>
      </c>
      <c r="E113" s="3">
        <v>0.78125</v>
      </c>
      <c r="F113" s="3">
        <v>3.125E-2</v>
      </c>
      <c r="G113" s="3">
        <f t="shared" si="1"/>
        <v>0.44097222222222221</v>
      </c>
      <c r="H113" s="11"/>
    </row>
    <row r="114" spans="1:9">
      <c r="A114" s="2">
        <v>40893</v>
      </c>
      <c r="B114" s="1" t="s">
        <v>12</v>
      </c>
      <c r="D114" s="3">
        <v>0.30902777777777779</v>
      </c>
      <c r="E114" s="3">
        <v>0.625</v>
      </c>
      <c r="F114" s="3">
        <v>4.1666666666666664E-2</v>
      </c>
      <c r="G114" s="3">
        <f t="shared" si="1"/>
        <v>0.27430555555555552</v>
      </c>
      <c r="H114" s="11"/>
    </row>
    <row r="115" spans="1:9">
      <c r="A115" s="2">
        <v>40894</v>
      </c>
      <c r="B115" s="1" t="s">
        <v>13</v>
      </c>
      <c r="G115" s="3">
        <f t="shared" si="1"/>
        <v>0</v>
      </c>
      <c r="H115" s="11"/>
      <c r="I115" s="4" t="s">
        <v>34</v>
      </c>
    </row>
    <row r="116" spans="1:9">
      <c r="A116" s="2">
        <v>40895</v>
      </c>
      <c r="B116" s="1" t="s">
        <v>14</v>
      </c>
      <c r="G116" s="3">
        <f t="shared" si="1"/>
        <v>0</v>
      </c>
      <c r="H116" s="11">
        <f>SUM(G110:G116)</f>
        <v>2.0208333333333335</v>
      </c>
    </row>
    <row r="117" spans="1:9">
      <c r="A117" s="2">
        <v>40896</v>
      </c>
      <c r="B117" s="1" t="s">
        <v>8</v>
      </c>
      <c r="C117" s="1">
        <f>C110+1</f>
        <v>51</v>
      </c>
      <c r="D117" s="3">
        <v>0.30902777777777779</v>
      </c>
      <c r="E117" s="3">
        <v>0.66666666666666663</v>
      </c>
      <c r="F117" s="3">
        <v>2.0833333333333332E-2</v>
      </c>
      <c r="G117" s="3">
        <f t="shared" si="1"/>
        <v>0.33680555555555552</v>
      </c>
      <c r="H117" s="6"/>
    </row>
    <row r="118" spans="1:9">
      <c r="A118" s="2">
        <v>40897</v>
      </c>
      <c r="B118" s="1" t="s">
        <v>9</v>
      </c>
      <c r="D118" s="3">
        <v>0.30555555555555552</v>
      </c>
      <c r="E118" s="3">
        <v>0.70833333333333337</v>
      </c>
      <c r="F118" s="3">
        <v>4.8611111111111112E-2</v>
      </c>
      <c r="G118" s="3">
        <f t="shared" si="1"/>
        <v>0.35416666666666674</v>
      </c>
      <c r="H118" s="6"/>
    </row>
    <row r="119" spans="1:9">
      <c r="A119" s="2">
        <v>40898</v>
      </c>
      <c r="B119" s="1" t="s">
        <v>10</v>
      </c>
      <c r="D119" s="3">
        <v>0.30555555555555552</v>
      </c>
      <c r="E119" s="3">
        <v>0.6875</v>
      </c>
      <c r="F119" s="3">
        <v>2.0833333333333332E-2</v>
      </c>
      <c r="G119" s="3">
        <f t="shared" si="1"/>
        <v>0.36111111111111116</v>
      </c>
      <c r="H119" s="6"/>
    </row>
    <row r="120" spans="1:9">
      <c r="A120" s="2">
        <v>40899</v>
      </c>
      <c r="B120" s="1" t="s">
        <v>11</v>
      </c>
      <c r="D120" s="3">
        <v>0.30555555555555552</v>
      </c>
      <c r="E120" s="3">
        <v>0.66666666666666663</v>
      </c>
      <c r="F120" s="3">
        <v>2.0833333333333332E-2</v>
      </c>
      <c r="G120" s="3">
        <f t="shared" si="1"/>
        <v>0.34027777777777779</v>
      </c>
      <c r="H120" s="6"/>
    </row>
    <row r="121" spans="1:9">
      <c r="A121" s="2">
        <v>40900</v>
      </c>
      <c r="B121" s="1" t="s">
        <v>12</v>
      </c>
      <c r="G121" s="3">
        <f t="shared" si="1"/>
        <v>0</v>
      </c>
      <c r="H121" s="6"/>
      <c r="I121" s="12" t="s">
        <v>35</v>
      </c>
    </row>
    <row r="122" spans="1:9">
      <c r="A122" s="2">
        <v>40901</v>
      </c>
      <c r="B122" s="1" t="s">
        <v>13</v>
      </c>
      <c r="G122" s="3">
        <f t="shared" si="1"/>
        <v>0</v>
      </c>
      <c r="H122" s="6"/>
      <c r="I122" s="12"/>
    </row>
    <row r="123" spans="1:9">
      <c r="A123" s="2">
        <v>40902</v>
      </c>
      <c r="B123" s="1" t="s">
        <v>14</v>
      </c>
      <c r="G123" s="3">
        <f t="shared" si="1"/>
        <v>0</v>
      </c>
      <c r="H123" s="11">
        <f>SUM(G117:G123)</f>
        <v>1.3923611111111112</v>
      </c>
      <c r="I123" s="12"/>
    </row>
    <row r="124" spans="1:9">
      <c r="A124" s="2">
        <v>40903</v>
      </c>
      <c r="B124" s="1" t="s">
        <v>8</v>
      </c>
      <c r="C124" s="1">
        <f>C117+1</f>
        <v>52</v>
      </c>
      <c r="G124" s="3">
        <f t="shared" si="1"/>
        <v>0</v>
      </c>
      <c r="H124" s="6"/>
      <c r="I124" s="12"/>
    </row>
    <row r="125" spans="1:9">
      <c r="A125" s="2">
        <v>40904</v>
      </c>
      <c r="B125" s="1" t="s">
        <v>9</v>
      </c>
      <c r="G125" s="3">
        <f t="shared" si="1"/>
        <v>0</v>
      </c>
      <c r="H125" s="6"/>
      <c r="I125" s="12" t="s">
        <v>33</v>
      </c>
    </row>
    <row r="126" spans="1:9">
      <c r="A126" s="2">
        <v>40905</v>
      </c>
      <c r="B126" s="1" t="s">
        <v>10</v>
      </c>
      <c r="G126" s="3">
        <f t="shared" si="1"/>
        <v>0</v>
      </c>
      <c r="H126" s="6"/>
      <c r="I126" s="12" t="s">
        <v>33</v>
      </c>
    </row>
    <row r="127" spans="1:9">
      <c r="A127" s="2">
        <v>40906</v>
      </c>
      <c r="B127" s="1" t="s">
        <v>11</v>
      </c>
      <c r="G127" s="3">
        <f t="shared" si="1"/>
        <v>0</v>
      </c>
      <c r="H127" s="6"/>
      <c r="I127" s="12" t="s">
        <v>33</v>
      </c>
    </row>
    <row r="128" spans="1:9">
      <c r="A128" s="2">
        <v>40907</v>
      </c>
      <c r="B128" s="1" t="s">
        <v>12</v>
      </c>
      <c r="G128" s="3">
        <f t="shared" si="1"/>
        <v>0</v>
      </c>
      <c r="H128" s="6"/>
      <c r="I128" s="12" t="s">
        <v>33</v>
      </c>
    </row>
    <row r="129" spans="1:9">
      <c r="A129" s="2">
        <v>40908</v>
      </c>
      <c r="B129" s="1" t="s">
        <v>13</v>
      </c>
      <c r="G129" s="3">
        <f t="shared" si="1"/>
        <v>0</v>
      </c>
      <c r="H129" s="6"/>
      <c r="I129" s="12" t="s">
        <v>34</v>
      </c>
    </row>
    <row r="130" spans="1:9">
      <c r="A130" s="2">
        <v>40909</v>
      </c>
      <c r="B130" s="1" t="s">
        <v>14</v>
      </c>
      <c r="G130" s="3">
        <f t="shared" si="1"/>
        <v>0</v>
      </c>
      <c r="H130" s="11">
        <f>SUM(G124:G130)</f>
        <v>0</v>
      </c>
      <c r="I130" s="12"/>
    </row>
    <row r="131" spans="1:9">
      <c r="A131" s="2">
        <v>40910</v>
      </c>
      <c r="B131" s="1" t="s">
        <v>8</v>
      </c>
      <c r="C131" s="1">
        <v>1</v>
      </c>
      <c r="D131" s="3">
        <v>0.30555555555555552</v>
      </c>
      <c r="E131" s="3">
        <v>0.71875</v>
      </c>
      <c r="F131" s="3">
        <v>2.0833333333333332E-2</v>
      </c>
      <c r="G131" s="3">
        <f t="shared" si="1"/>
        <v>0.39236111111111116</v>
      </c>
      <c r="H131" s="11"/>
      <c r="I131" s="13" t="s">
        <v>33</v>
      </c>
    </row>
    <row r="132" spans="1:9">
      <c r="A132" s="2">
        <v>40911</v>
      </c>
      <c r="B132" s="1" t="s">
        <v>9</v>
      </c>
      <c r="D132" s="3">
        <v>0.30555555555555552</v>
      </c>
      <c r="E132" s="3">
        <v>0.77430555555555547</v>
      </c>
      <c r="F132" s="3">
        <v>3.125E-2</v>
      </c>
      <c r="G132" s="3">
        <f t="shared" si="1"/>
        <v>0.43749999999999994</v>
      </c>
      <c r="H132" s="11"/>
    </row>
    <row r="133" spans="1:9">
      <c r="A133" s="2">
        <v>40912</v>
      </c>
      <c r="B133" s="1" t="s">
        <v>10</v>
      </c>
      <c r="D133" s="3">
        <v>0.30555555555555552</v>
      </c>
      <c r="E133" s="3">
        <v>0.78472222222222221</v>
      </c>
      <c r="F133" s="3">
        <v>9.0277777777777776E-2</v>
      </c>
      <c r="G133" s="3">
        <f t="shared" si="1"/>
        <v>0.3888888888888889</v>
      </c>
      <c r="H133" s="11"/>
    </row>
    <row r="134" spans="1:9">
      <c r="A134" s="2">
        <v>40913</v>
      </c>
      <c r="B134" s="1" t="s">
        <v>11</v>
      </c>
      <c r="D134" s="3">
        <v>0.30555555555555552</v>
      </c>
      <c r="E134" s="3">
        <v>0.70833333333333337</v>
      </c>
      <c r="F134" s="3">
        <v>3.125E-2</v>
      </c>
      <c r="G134" s="3">
        <f t="shared" si="1"/>
        <v>0.37152777777777785</v>
      </c>
      <c r="H134" s="11"/>
    </row>
    <row r="135" spans="1:9">
      <c r="A135" s="2">
        <v>40914</v>
      </c>
      <c r="B135" s="1" t="s">
        <v>12</v>
      </c>
      <c r="D135" s="3">
        <v>0.30555555555555552</v>
      </c>
      <c r="E135" s="3">
        <v>0.67013888888888884</v>
      </c>
      <c r="F135" s="3">
        <v>6.25E-2</v>
      </c>
      <c r="G135" s="3">
        <f t="shared" ref="G135:G198" si="2">E135-D135-F135</f>
        <v>0.30208333333333331</v>
      </c>
      <c r="H135" s="11"/>
    </row>
    <row r="136" spans="1:9">
      <c r="A136" s="2">
        <v>40915</v>
      </c>
      <c r="B136" s="1" t="s">
        <v>13</v>
      </c>
      <c r="G136" s="3">
        <f t="shared" si="2"/>
        <v>0</v>
      </c>
      <c r="H136" s="11"/>
    </row>
    <row r="137" spans="1:9">
      <c r="A137" s="2">
        <v>40916</v>
      </c>
      <c r="B137" s="1" t="s">
        <v>14</v>
      </c>
      <c r="G137" s="3">
        <f t="shared" si="2"/>
        <v>0</v>
      </c>
      <c r="H137" s="11">
        <f>SUM(G131:G137)</f>
        <v>1.8923611111111112</v>
      </c>
    </row>
    <row r="138" spans="1:9">
      <c r="A138" s="2">
        <v>40917</v>
      </c>
      <c r="B138" s="1" t="s">
        <v>8</v>
      </c>
      <c r="C138" s="1">
        <v>2</v>
      </c>
      <c r="D138" s="3">
        <v>0.30555555555555552</v>
      </c>
      <c r="E138" s="3">
        <v>0.8125</v>
      </c>
      <c r="F138" s="3">
        <v>5.2083333333333336E-2</v>
      </c>
      <c r="G138" s="3">
        <f t="shared" si="2"/>
        <v>0.4548611111111111</v>
      </c>
      <c r="H138" s="11"/>
    </row>
    <row r="139" spans="1:9">
      <c r="A139" s="2">
        <v>40918</v>
      </c>
      <c r="B139" s="1" t="s">
        <v>9</v>
      </c>
      <c r="D139" s="3">
        <v>0.2951388888888889</v>
      </c>
      <c r="E139" s="3">
        <v>0.8125</v>
      </c>
      <c r="F139" s="3">
        <v>4.1666666666666664E-2</v>
      </c>
      <c r="G139" s="3">
        <f t="shared" si="2"/>
        <v>0.47569444444444448</v>
      </c>
      <c r="H139" s="11"/>
    </row>
    <row r="140" spans="1:9">
      <c r="A140" s="2">
        <v>40919</v>
      </c>
      <c r="B140" s="1" t="s">
        <v>10</v>
      </c>
      <c r="D140" s="3">
        <v>0.2986111111111111</v>
      </c>
      <c r="E140" s="3">
        <v>0.70833333333333337</v>
      </c>
      <c r="F140" s="3">
        <v>5.5555555555555552E-2</v>
      </c>
      <c r="G140" s="3">
        <f t="shared" si="2"/>
        <v>0.35416666666666674</v>
      </c>
      <c r="H140" s="11"/>
    </row>
    <row r="141" spans="1:9">
      <c r="A141" s="2">
        <v>40920</v>
      </c>
      <c r="B141" s="1" t="s">
        <v>11</v>
      </c>
      <c r="D141" s="3">
        <v>0.30208333333333331</v>
      </c>
      <c r="E141" s="3">
        <v>0.72916666666666663</v>
      </c>
      <c r="F141" s="3">
        <v>9.375E-2</v>
      </c>
      <c r="G141" s="3">
        <f t="shared" si="2"/>
        <v>0.33333333333333331</v>
      </c>
      <c r="H141" s="11"/>
      <c r="I141" s="4" t="s">
        <v>36</v>
      </c>
    </row>
    <row r="142" spans="1:9">
      <c r="A142" s="2">
        <v>40921</v>
      </c>
      <c r="B142" s="1" t="s">
        <v>12</v>
      </c>
      <c r="D142" s="3">
        <v>0.30208333333333331</v>
      </c>
      <c r="E142" s="3">
        <v>0.75347222222222221</v>
      </c>
      <c r="F142" s="3">
        <v>2.0833333333333332E-2</v>
      </c>
      <c r="G142" s="3">
        <f t="shared" si="2"/>
        <v>0.43055555555555558</v>
      </c>
      <c r="H142" s="11"/>
    </row>
    <row r="143" spans="1:9">
      <c r="A143" s="2">
        <v>40922</v>
      </c>
      <c r="B143" s="1" t="s">
        <v>13</v>
      </c>
      <c r="G143" s="3">
        <f t="shared" si="2"/>
        <v>0</v>
      </c>
      <c r="H143" s="11"/>
    </row>
    <row r="144" spans="1:9">
      <c r="A144" s="2">
        <v>40923</v>
      </c>
      <c r="B144" s="1" t="s">
        <v>14</v>
      </c>
      <c r="G144" s="3">
        <f t="shared" si="2"/>
        <v>0</v>
      </c>
      <c r="H144" s="11">
        <f>SUM(G138:G144)</f>
        <v>2.0486111111111112</v>
      </c>
    </row>
    <row r="145" spans="1:9">
      <c r="A145" s="2">
        <v>40924</v>
      </c>
      <c r="B145" s="1" t="s">
        <v>8</v>
      </c>
      <c r="C145" s="1">
        <v>3</v>
      </c>
      <c r="D145" s="3">
        <v>0.36458333333333331</v>
      </c>
      <c r="E145" s="3">
        <v>0.73611111111111116</v>
      </c>
      <c r="F145" s="3">
        <v>2.0833333333333332E-2</v>
      </c>
      <c r="G145" s="3">
        <f t="shared" si="2"/>
        <v>0.35069444444444453</v>
      </c>
      <c r="H145" s="11"/>
    </row>
    <row r="146" spans="1:9">
      <c r="A146" s="2">
        <v>40925</v>
      </c>
      <c r="B146" s="1" t="s">
        <v>9</v>
      </c>
      <c r="D146" s="3">
        <v>0.2986111111111111</v>
      </c>
      <c r="E146" s="3">
        <v>0.75694444444444453</v>
      </c>
      <c r="F146" s="3">
        <v>4.1666666666666664E-2</v>
      </c>
      <c r="G146" s="3">
        <f t="shared" si="2"/>
        <v>0.41666666666666674</v>
      </c>
      <c r="H146" s="11"/>
    </row>
    <row r="147" spans="1:9">
      <c r="A147" s="2">
        <v>40926</v>
      </c>
      <c r="B147" s="1" t="s">
        <v>10</v>
      </c>
      <c r="D147" s="3">
        <v>0.30555555555555552</v>
      </c>
      <c r="E147" s="3">
        <v>0.75</v>
      </c>
      <c r="F147" s="3">
        <v>6.25E-2</v>
      </c>
      <c r="G147" s="3">
        <f t="shared" si="2"/>
        <v>0.38194444444444448</v>
      </c>
      <c r="H147" s="11"/>
    </row>
    <row r="148" spans="1:9">
      <c r="A148" s="2">
        <v>40927</v>
      </c>
      <c r="B148" s="1" t="s">
        <v>11</v>
      </c>
      <c r="D148" s="3">
        <v>0.30555555555555552</v>
      </c>
      <c r="E148" s="3">
        <v>0.77083333333333337</v>
      </c>
      <c r="F148" s="3">
        <v>6.25E-2</v>
      </c>
      <c r="G148" s="3">
        <f t="shared" si="2"/>
        <v>0.40277777777777785</v>
      </c>
      <c r="H148" s="11"/>
    </row>
    <row r="149" spans="1:9">
      <c r="A149" s="2">
        <v>40928</v>
      </c>
      <c r="B149" s="1" t="s">
        <v>12</v>
      </c>
      <c r="D149" s="3">
        <v>0.30555555555555552</v>
      </c>
      <c r="E149" s="3">
        <v>0.85416666666666663</v>
      </c>
      <c r="F149" s="3">
        <v>8.3333333333333329E-2</v>
      </c>
      <c r="G149" s="3">
        <f t="shared" si="2"/>
        <v>0.46527777777777785</v>
      </c>
      <c r="H149" s="11"/>
      <c r="I149" s="4" t="s">
        <v>37</v>
      </c>
    </row>
    <row r="150" spans="1:9">
      <c r="A150" s="2">
        <v>40929</v>
      </c>
      <c r="B150" s="1" t="s">
        <v>13</v>
      </c>
      <c r="G150" s="3">
        <f t="shared" si="2"/>
        <v>0</v>
      </c>
      <c r="H150" s="11"/>
    </row>
    <row r="151" spans="1:9">
      <c r="A151" s="2">
        <v>40930</v>
      </c>
      <c r="B151" s="1" t="s">
        <v>14</v>
      </c>
      <c r="G151" s="3">
        <f t="shared" si="2"/>
        <v>0</v>
      </c>
      <c r="H151" s="11">
        <f>SUM(G145:G151)</f>
        <v>2.0173611111111116</v>
      </c>
    </row>
    <row r="152" spans="1:9">
      <c r="A152" s="2">
        <v>40931</v>
      </c>
      <c r="B152" s="1" t="s">
        <v>8</v>
      </c>
      <c r="C152" s="1">
        <v>4</v>
      </c>
      <c r="D152" s="3">
        <v>0.30555555555555552</v>
      </c>
      <c r="E152" s="3">
        <v>0.73263888888888884</v>
      </c>
      <c r="F152" s="3">
        <v>2.0833333333333332E-2</v>
      </c>
      <c r="G152" s="3">
        <f t="shared" si="2"/>
        <v>0.40625</v>
      </c>
      <c r="H152" s="11"/>
    </row>
    <row r="153" spans="1:9">
      <c r="A153" s="2">
        <v>40932</v>
      </c>
      <c r="B153" s="1" t="s">
        <v>9</v>
      </c>
      <c r="D153" s="3">
        <v>0.30208333333333331</v>
      </c>
      <c r="E153" s="3">
        <v>0.6875</v>
      </c>
      <c r="F153" s="3">
        <v>5.2083333333333336E-2</v>
      </c>
      <c r="G153" s="3">
        <f t="shared" si="2"/>
        <v>0.33333333333333337</v>
      </c>
      <c r="H153" s="11"/>
    </row>
    <row r="154" spans="1:9">
      <c r="A154" s="2">
        <v>40933</v>
      </c>
      <c r="B154" s="1" t="s">
        <v>10</v>
      </c>
      <c r="D154" s="3">
        <v>0.30555555555555552</v>
      </c>
      <c r="E154" s="3">
        <v>0.76041666666666663</v>
      </c>
      <c r="F154" s="3">
        <v>4.8611111111111112E-2</v>
      </c>
      <c r="G154" s="3">
        <f t="shared" si="2"/>
        <v>0.40625</v>
      </c>
      <c r="H154" s="11"/>
    </row>
    <row r="155" spans="1:9">
      <c r="A155" s="2">
        <v>40934</v>
      </c>
      <c r="B155" s="1" t="s">
        <v>11</v>
      </c>
      <c r="D155" s="3">
        <v>0.30555555555555552</v>
      </c>
      <c r="E155" s="3">
        <v>0.71527777777777779</v>
      </c>
      <c r="F155" s="3">
        <v>6.25E-2</v>
      </c>
      <c r="G155" s="3">
        <f t="shared" si="2"/>
        <v>0.34722222222222227</v>
      </c>
      <c r="H155" s="11"/>
    </row>
    <row r="156" spans="1:9">
      <c r="A156" s="2">
        <v>40935</v>
      </c>
      <c r="B156" s="1" t="s">
        <v>12</v>
      </c>
      <c r="D156" s="3">
        <v>0.30208333333333331</v>
      </c>
      <c r="E156" s="3">
        <v>0.73958333333333337</v>
      </c>
      <c r="F156" s="3">
        <v>5.5555555555555552E-2</v>
      </c>
      <c r="G156" s="3">
        <f t="shared" si="2"/>
        <v>0.38194444444444453</v>
      </c>
      <c r="H156" s="11"/>
    </row>
    <row r="157" spans="1:9">
      <c r="A157" s="2">
        <v>40936</v>
      </c>
      <c r="B157" s="1" t="s">
        <v>13</v>
      </c>
      <c r="G157" s="3">
        <f t="shared" si="2"/>
        <v>0</v>
      </c>
      <c r="H157" s="11"/>
    </row>
    <row r="158" spans="1:9">
      <c r="A158" s="2">
        <v>40937</v>
      </c>
      <c r="B158" s="1" t="s">
        <v>14</v>
      </c>
      <c r="G158" s="3">
        <f t="shared" si="2"/>
        <v>0</v>
      </c>
      <c r="H158" s="11">
        <f>SUM(G152:G158)</f>
        <v>1.8750000000000004</v>
      </c>
    </row>
    <row r="159" spans="1:9">
      <c r="A159" s="2">
        <v>40938</v>
      </c>
      <c r="B159" s="1" t="s">
        <v>8</v>
      </c>
      <c r="C159" s="1">
        <v>5</v>
      </c>
      <c r="D159" s="3">
        <v>0.30555555555555552</v>
      </c>
      <c r="E159" s="3">
        <v>0.78819444444444453</v>
      </c>
      <c r="F159" s="3">
        <v>2.0833333333333332E-2</v>
      </c>
      <c r="G159" s="3">
        <f t="shared" si="2"/>
        <v>0.46180555555555569</v>
      </c>
      <c r="H159" s="11"/>
    </row>
    <row r="160" spans="1:9">
      <c r="A160" s="2">
        <v>40939</v>
      </c>
      <c r="B160" s="1" t="s">
        <v>9</v>
      </c>
      <c r="D160" s="3">
        <v>0.30208333333333331</v>
      </c>
      <c r="E160" s="3">
        <v>0.76041666666666663</v>
      </c>
      <c r="F160" s="3">
        <v>2.0833333333333332E-2</v>
      </c>
      <c r="G160" s="3">
        <f t="shared" si="2"/>
        <v>0.4375</v>
      </c>
      <c r="H160" s="11"/>
    </row>
    <row r="161" spans="1:8">
      <c r="A161" s="2">
        <v>40940</v>
      </c>
      <c r="B161" s="1" t="s">
        <v>10</v>
      </c>
      <c r="D161" s="3">
        <v>0.30208333333333331</v>
      </c>
      <c r="E161" s="3">
        <v>0.79513888888888884</v>
      </c>
      <c r="F161" s="3">
        <v>2.0833333333333332E-2</v>
      </c>
      <c r="G161" s="3">
        <f t="shared" si="2"/>
        <v>0.47222222222222221</v>
      </c>
      <c r="H161" s="11"/>
    </row>
    <row r="162" spans="1:8">
      <c r="A162" s="2">
        <v>40941</v>
      </c>
      <c r="B162" s="1" t="s">
        <v>11</v>
      </c>
      <c r="D162" s="3">
        <v>0.30555555555555552</v>
      </c>
      <c r="E162" s="3">
        <v>0.80208333333333337</v>
      </c>
      <c r="F162" s="3">
        <v>5.5555555555555552E-2</v>
      </c>
      <c r="G162" s="3">
        <f t="shared" si="2"/>
        <v>0.44097222222222232</v>
      </c>
      <c r="H162" s="11"/>
    </row>
    <row r="163" spans="1:8">
      <c r="A163" s="2">
        <v>40942</v>
      </c>
      <c r="B163" s="1" t="s">
        <v>12</v>
      </c>
      <c r="D163" s="3">
        <v>0.30555555555555552</v>
      </c>
      <c r="E163" s="3">
        <v>0.625</v>
      </c>
      <c r="F163" s="3">
        <v>5.2083333333333336E-2</v>
      </c>
      <c r="G163" s="3">
        <f t="shared" si="2"/>
        <v>0.26736111111111116</v>
      </c>
      <c r="H163" s="11"/>
    </row>
    <row r="164" spans="1:8">
      <c r="A164" s="2">
        <v>40943</v>
      </c>
      <c r="B164" s="1" t="s">
        <v>13</v>
      </c>
      <c r="G164" s="3">
        <f t="shared" si="2"/>
        <v>0</v>
      </c>
      <c r="H164" s="11"/>
    </row>
    <row r="165" spans="1:8">
      <c r="A165" s="2">
        <v>40944</v>
      </c>
      <c r="B165" s="1" t="s">
        <v>14</v>
      </c>
      <c r="G165" s="3">
        <f t="shared" si="2"/>
        <v>0</v>
      </c>
      <c r="H165" s="11">
        <f>SUM(G159:G165)</f>
        <v>2.0798611111111116</v>
      </c>
    </row>
    <row r="166" spans="1:8">
      <c r="A166" s="2">
        <v>40945</v>
      </c>
      <c r="B166" s="1" t="s">
        <v>8</v>
      </c>
      <c r="C166" s="1">
        <v>6</v>
      </c>
      <c r="D166" s="3">
        <v>0.30555555555555552</v>
      </c>
      <c r="E166" s="3">
        <v>0.76041666666666663</v>
      </c>
      <c r="F166" s="3">
        <v>3.125E-2</v>
      </c>
      <c r="G166" s="3">
        <f t="shared" si="2"/>
        <v>0.4236111111111111</v>
      </c>
      <c r="H166" s="6"/>
    </row>
    <row r="167" spans="1:8">
      <c r="A167" s="2">
        <v>40946</v>
      </c>
      <c r="B167" s="1" t="s">
        <v>9</v>
      </c>
      <c r="D167" s="3">
        <v>0.31944444444444448</v>
      </c>
      <c r="E167" s="3">
        <v>0.70833333333333337</v>
      </c>
      <c r="F167" s="3">
        <v>2.0833333333333332E-2</v>
      </c>
      <c r="G167" s="3">
        <f t="shared" si="2"/>
        <v>0.36805555555555558</v>
      </c>
      <c r="H167" s="6"/>
    </row>
    <row r="168" spans="1:8">
      <c r="A168" s="2">
        <v>40947</v>
      </c>
      <c r="B168" s="1" t="s">
        <v>10</v>
      </c>
      <c r="D168" s="3">
        <v>0.2951388888888889</v>
      </c>
      <c r="E168" s="3">
        <v>0.80902777777777779</v>
      </c>
      <c r="F168" s="3">
        <v>4.8611111111111112E-2</v>
      </c>
      <c r="G168" s="3">
        <f t="shared" si="2"/>
        <v>0.46527777777777773</v>
      </c>
      <c r="H168" s="6"/>
    </row>
    <row r="169" spans="1:8">
      <c r="A169" s="2">
        <v>40948</v>
      </c>
      <c r="B169" s="1" t="s">
        <v>11</v>
      </c>
      <c r="D169" s="3">
        <v>0.2951388888888889</v>
      </c>
      <c r="E169" s="3">
        <v>0.72916666666666663</v>
      </c>
      <c r="F169" s="3">
        <v>6.25E-2</v>
      </c>
      <c r="G169" s="3">
        <f t="shared" si="2"/>
        <v>0.37152777777777773</v>
      </c>
      <c r="H169" s="6"/>
    </row>
    <row r="170" spans="1:8">
      <c r="A170" s="2">
        <v>40949</v>
      </c>
      <c r="B170" s="1" t="s">
        <v>12</v>
      </c>
      <c r="D170" s="3">
        <v>0.30555555555555552</v>
      </c>
      <c r="E170" s="3">
        <v>0.78819444444444453</v>
      </c>
      <c r="F170" s="3">
        <v>3.4722222222222224E-2</v>
      </c>
      <c r="G170" s="3">
        <f t="shared" si="2"/>
        <v>0.4479166666666668</v>
      </c>
      <c r="H170" s="6"/>
    </row>
    <row r="171" spans="1:8">
      <c r="A171" s="2">
        <v>40950</v>
      </c>
      <c r="B171" s="1" t="s">
        <v>13</v>
      </c>
      <c r="G171" s="3">
        <f t="shared" si="2"/>
        <v>0</v>
      </c>
      <c r="H171" s="6"/>
    </row>
    <row r="172" spans="1:8">
      <c r="A172" s="2">
        <v>40951</v>
      </c>
      <c r="B172" s="1" t="s">
        <v>14</v>
      </c>
      <c r="G172" s="3">
        <f t="shared" si="2"/>
        <v>0</v>
      </c>
      <c r="H172" s="11">
        <f>SUM(G166:G172)</f>
        <v>2.0763888888888888</v>
      </c>
    </row>
    <row r="173" spans="1:8">
      <c r="A173" s="2">
        <v>40952</v>
      </c>
      <c r="B173" s="1" t="s">
        <v>8</v>
      </c>
      <c r="C173" s="1">
        <v>7</v>
      </c>
      <c r="D173" s="3">
        <v>0.33333333333333331</v>
      </c>
      <c r="E173" s="3">
        <v>0.6875</v>
      </c>
      <c r="F173" s="3">
        <v>4.1666666666666664E-2</v>
      </c>
      <c r="G173" s="3">
        <f t="shared" si="2"/>
        <v>0.3125</v>
      </c>
      <c r="H173" s="11"/>
    </row>
    <row r="174" spans="1:8">
      <c r="A174" s="2">
        <v>40953</v>
      </c>
      <c r="B174" s="1" t="s">
        <v>9</v>
      </c>
      <c r="D174" s="3">
        <v>0.30208333333333331</v>
      </c>
      <c r="E174" s="3">
        <v>0.71875</v>
      </c>
      <c r="F174" s="3">
        <v>5.2083333333333336E-2</v>
      </c>
      <c r="G174" s="3">
        <f t="shared" si="2"/>
        <v>0.36458333333333337</v>
      </c>
      <c r="H174" s="11"/>
    </row>
    <row r="175" spans="1:8">
      <c r="A175" s="2">
        <v>40954</v>
      </c>
      <c r="B175" s="1" t="s">
        <v>10</v>
      </c>
      <c r="D175" s="3">
        <v>0.30208333333333331</v>
      </c>
      <c r="E175" s="3">
        <v>0.6875</v>
      </c>
      <c r="F175" s="3">
        <v>4.8611111111111112E-2</v>
      </c>
      <c r="G175" s="3">
        <f t="shared" si="2"/>
        <v>0.33680555555555558</v>
      </c>
      <c r="H175" s="11"/>
    </row>
    <row r="176" spans="1:8">
      <c r="A176" s="2">
        <v>40955</v>
      </c>
      <c r="B176" s="1" t="s">
        <v>11</v>
      </c>
      <c r="D176" s="3">
        <v>0.34027777777777773</v>
      </c>
      <c r="E176" s="3">
        <v>0.75347222222222221</v>
      </c>
      <c r="F176" s="3">
        <v>6.25E-2</v>
      </c>
      <c r="G176" s="3">
        <f t="shared" si="2"/>
        <v>0.35069444444444448</v>
      </c>
      <c r="H176" s="11"/>
    </row>
    <row r="177" spans="1:9">
      <c r="A177" s="2">
        <v>40956</v>
      </c>
      <c r="B177" s="1" t="s">
        <v>12</v>
      </c>
      <c r="D177" s="3">
        <v>0.30555555555555552</v>
      </c>
      <c r="E177" s="3">
        <v>0.70833333333333337</v>
      </c>
      <c r="F177" s="3">
        <v>4.1666666666666664E-2</v>
      </c>
      <c r="G177" s="3">
        <f t="shared" si="2"/>
        <v>0.36111111111111116</v>
      </c>
      <c r="H177" s="11"/>
      <c r="I177" s="4" t="s">
        <v>38</v>
      </c>
    </row>
    <row r="178" spans="1:9">
      <c r="A178" s="2">
        <v>40957</v>
      </c>
      <c r="B178" s="1" t="s">
        <v>13</v>
      </c>
      <c r="G178" s="3">
        <f t="shared" si="2"/>
        <v>0</v>
      </c>
      <c r="H178" s="11"/>
    </row>
    <row r="179" spans="1:9">
      <c r="A179" s="2">
        <v>40958</v>
      </c>
      <c r="B179" s="1" t="s">
        <v>14</v>
      </c>
      <c r="G179" s="3">
        <f t="shared" si="2"/>
        <v>0</v>
      </c>
      <c r="H179" s="11">
        <f>SUM(G173:G179)</f>
        <v>1.7256944444444444</v>
      </c>
    </row>
    <row r="180" spans="1:9">
      <c r="A180" s="2">
        <v>40959</v>
      </c>
      <c r="B180" s="1" t="s">
        <v>8</v>
      </c>
      <c r="C180" s="1">
        <v>8</v>
      </c>
      <c r="D180" s="3">
        <v>0.32291666666666669</v>
      </c>
      <c r="E180" s="3">
        <v>0.75</v>
      </c>
      <c r="F180" s="3">
        <v>4.1666666666666664E-2</v>
      </c>
      <c r="G180" s="3">
        <f t="shared" si="2"/>
        <v>0.38541666666666663</v>
      </c>
      <c r="H180" s="11"/>
      <c r="I180" s="14" t="s">
        <v>39</v>
      </c>
    </row>
    <row r="181" spans="1:9">
      <c r="A181" s="2">
        <v>40960</v>
      </c>
      <c r="B181" s="1" t="s">
        <v>9</v>
      </c>
      <c r="D181" s="3">
        <v>0.34375</v>
      </c>
      <c r="E181" s="3">
        <v>0.78125</v>
      </c>
      <c r="F181" s="3">
        <v>2.0833333333333332E-2</v>
      </c>
      <c r="G181" s="3">
        <f t="shared" si="2"/>
        <v>0.41666666666666669</v>
      </c>
      <c r="H181" s="11"/>
    </row>
    <row r="182" spans="1:9">
      <c r="A182" s="2">
        <v>40961</v>
      </c>
      <c r="B182" s="1" t="s">
        <v>10</v>
      </c>
      <c r="D182" s="3">
        <v>0.30208333333333331</v>
      </c>
      <c r="E182" s="3">
        <v>0.81944444444444453</v>
      </c>
      <c r="F182" s="3">
        <v>7.2916666666666671E-2</v>
      </c>
      <c r="G182" s="3">
        <f t="shared" si="2"/>
        <v>0.44444444444444448</v>
      </c>
      <c r="H182" s="11"/>
      <c r="I182" s="4" t="s">
        <v>40</v>
      </c>
    </row>
    <row r="183" spans="1:9">
      <c r="A183" s="2">
        <v>40962</v>
      </c>
      <c r="B183" s="1" t="s">
        <v>11</v>
      </c>
      <c r="D183" s="3">
        <v>0.30555555555555552</v>
      </c>
      <c r="E183" s="3">
        <v>0.83333333333333337</v>
      </c>
      <c r="F183" s="3">
        <v>0.10416666666666667</v>
      </c>
      <c r="G183" s="3">
        <f t="shared" si="2"/>
        <v>0.42361111111111122</v>
      </c>
      <c r="H183" s="11"/>
      <c r="I183" s="4" t="s">
        <v>41</v>
      </c>
    </row>
    <row r="184" spans="1:9">
      <c r="A184" s="2">
        <v>40963</v>
      </c>
      <c r="B184" s="1" t="s">
        <v>12</v>
      </c>
      <c r="D184" s="3">
        <v>0.30555555555555552</v>
      </c>
      <c r="E184" s="3">
        <v>0.71527777777777779</v>
      </c>
      <c r="F184" s="3">
        <v>3.125E-2</v>
      </c>
      <c r="G184" s="3">
        <f t="shared" si="2"/>
        <v>0.37847222222222227</v>
      </c>
      <c r="H184" s="11"/>
    </row>
    <row r="185" spans="1:9">
      <c r="A185" s="2">
        <v>40964</v>
      </c>
      <c r="B185" s="1" t="s">
        <v>13</v>
      </c>
      <c r="G185" s="3">
        <f t="shared" si="2"/>
        <v>0</v>
      </c>
      <c r="H185" s="11"/>
    </row>
    <row r="186" spans="1:9">
      <c r="A186" s="2">
        <v>40965</v>
      </c>
      <c r="B186" s="1" t="s">
        <v>14</v>
      </c>
      <c r="G186" s="3">
        <f t="shared" si="2"/>
        <v>0</v>
      </c>
      <c r="H186" s="11">
        <f>SUM(G180:G186)</f>
        <v>2.0486111111111112</v>
      </c>
    </row>
    <row r="187" spans="1:9">
      <c r="A187" s="2">
        <v>40966</v>
      </c>
      <c r="B187" s="1" t="s">
        <v>8</v>
      </c>
      <c r="C187" s="1">
        <v>9</v>
      </c>
      <c r="D187" s="3"/>
      <c r="G187" s="3">
        <f t="shared" si="2"/>
        <v>0</v>
      </c>
      <c r="H187" s="11"/>
      <c r="I187" s="4" t="s">
        <v>42</v>
      </c>
    </row>
    <row r="188" spans="1:9">
      <c r="A188" s="2">
        <v>40967</v>
      </c>
      <c r="B188" s="1" t="s">
        <v>9</v>
      </c>
      <c r="D188" s="3">
        <v>0.34375</v>
      </c>
      <c r="E188" s="3">
        <v>0.71527777777777779</v>
      </c>
      <c r="F188" s="3">
        <v>3.125E-2</v>
      </c>
      <c r="G188" s="3">
        <f t="shared" si="2"/>
        <v>0.34027777777777779</v>
      </c>
      <c r="H188" s="11"/>
    </row>
    <row r="189" spans="1:9">
      <c r="A189" s="2">
        <v>40968</v>
      </c>
      <c r="B189" s="1" t="s">
        <v>10</v>
      </c>
      <c r="D189" s="3">
        <v>0.2951388888888889</v>
      </c>
      <c r="E189" s="3">
        <v>0.74305555555555547</v>
      </c>
      <c r="F189" s="3">
        <v>4.1666666666666664E-2</v>
      </c>
      <c r="G189" s="3">
        <f t="shared" si="2"/>
        <v>0.40624999999999989</v>
      </c>
      <c r="H189" s="11"/>
    </row>
    <row r="190" spans="1:9">
      <c r="A190" s="2">
        <v>40969</v>
      </c>
      <c r="B190" s="1" t="s">
        <v>11</v>
      </c>
      <c r="D190" s="3">
        <v>0.2951388888888889</v>
      </c>
      <c r="E190" s="3">
        <v>0.82638888888888884</v>
      </c>
      <c r="F190" s="3">
        <v>4.1666666666666664E-2</v>
      </c>
      <c r="G190" s="3">
        <f t="shared" si="2"/>
        <v>0.48958333333333331</v>
      </c>
      <c r="H190" s="11"/>
    </row>
    <row r="191" spans="1:9">
      <c r="A191" s="2">
        <v>40970</v>
      </c>
      <c r="B191" s="1" t="s">
        <v>12</v>
      </c>
      <c r="D191" s="3">
        <v>0.30555555555555552</v>
      </c>
      <c r="E191" s="3">
        <v>0.92361111111111116</v>
      </c>
      <c r="F191" s="3">
        <v>0.11458333333333333</v>
      </c>
      <c r="G191" s="3">
        <f t="shared" si="2"/>
        <v>0.50347222222222221</v>
      </c>
      <c r="H191" s="11"/>
      <c r="I191" s="4" t="s">
        <v>43</v>
      </c>
    </row>
    <row r="192" spans="1:9">
      <c r="A192" s="2">
        <v>40971</v>
      </c>
      <c r="B192" s="1" t="s">
        <v>13</v>
      </c>
      <c r="G192" s="3">
        <f t="shared" si="2"/>
        <v>0</v>
      </c>
      <c r="H192" s="11"/>
    </row>
    <row r="193" spans="1:9">
      <c r="A193" s="2">
        <v>40972</v>
      </c>
      <c r="B193" s="1" t="s">
        <v>14</v>
      </c>
      <c r="G193" s="3">
        <f t="shared" si="2"/>
        <v>0</v>
      </c>
      <c r="H193" s="11">
        <f>SUM(G187:G193)</f>
        <v>1.739583333333333</v>
      </c>
    </row>
    <row r="194" spans="1:9">
      <c r="A194" s="2">
        <v>40973</v>
      </c>
      <c r="B194" s="1" t="s">
        <v>8</v>
      </c>
      <c r="C194" s="1">
        <v>10</v>
      </c>
      <c r="D194" s="3">
        <v>0.2986111111111111</v>
      </c>
      <c r="E194" s="3">
        <v>0.85416666666666663</v>
      </c>
      <c r="F194" s="3">
        <v>3.125E-2</v>
      </c>
      <c r="G194" s="3">
        <f t="shared" si="2"/>
        <v>0.52430555555555558</v>
      </c>
      <c r="H194" s="11"/>
    </row>
    <row r="195" spans="1:9">
      <c r="A195" s="2">
        <v>40974</v>
      </c>
      <c r="B195" s="1" t="s">
        <v>9</v>
      </c>
      <c r="D195" s="3">
        <v>0.30208333333333331</v>
      </c>
      <c r="E195" s="3">
        <v>0.70138888888888884</v>
      </c>
      <c r="F195" s="3">
        <v>5.2083333333333336E-2</v>
      </c>
      <c r="G195" s="3">
        <f t="shared" si="2"/>
        <v>0.34722222222222221</v>
      </c>
      <c r="H195" s="11"/>
    </row>
    <row r="196" spans="1:9">
      <c r="A196" s="2">
        <v>40975</v>
      </c>
      <c r="B196" s="1" t="s">
        <v>10</v>
      </c>
      <c r="D196" s="3">
        <v>0.30555555555555552</v>
      </c>
      <c r="E196" s="3">
        <v>0.70138888888888884</v>
      </c>
      <c r="F196" s="3">
        <v>4.1666666666666664E-2</v>
      </c>
      <c r="G196" s="3">
        <f t="shared" si="2"/>
        <v>0.35416666666666663</v>
      </c>
      <c r="H196" s="11"/>
    </row>
    <row r="197" spans="1:9">
      <c r="A197" s="2">
        <v>40976</v>
      </c>
      <c r="B197" s="1" t="s">
        <v>11</v>
      </c>
      <c r="D197" s="3">
        <v>0.34375</v>
      </c>
      <c r="E197" s="3">
        <v>0.73958333333333337</v>
      </c>
      <c r="F197" s="3">
        <v>5.5555555555555552E-2</v>
      </c>
      <c r="G197" s="3">
        <f t="shared" si="2"/>
        <v>0.34027777777777779</v>
      </c>
      <c r="H197" s="11"/>
    </row>
    <row r="198" spans="1:9">
      <c r="A198" s="2">
        <v>40977</v>
      </c>
      <c r="B198" s="1" t="s">
        <v>12</v>
      </c>
      <c r="D198" s="3">
        <v>0.30208333333333331</v>
      </c>
      <c r="E198" s="3">
        <v>0.76736111111111116</v>
      </c>
      <c r="F198" s="3">
        <v>3.125E-2</v>
      </c>
      <c r="G198" s="3">
        <f t="shared" si="2"/>
        <v>0.43402777777777785</v>
      </c>
      <c r="H198" s="11"/>
    </row>
    <row r="199" spans="1:9">
      <c r="A199" s="2">
        <v>40978</v>
      </c>
      <c r="B199" s="1" t="s">
        <v>13</v>
      </c>
      <c r="G199" s="3">
        <f t="shared" ref="G199:G262" si="3">E199-D199-F199</f>
        <v>0</v>
      </c>
      <c r="H199" s="11"/>
    </row>
    <row r="200" spans="1:9">
      <c r="A200" s="2">
        <v>40979</v>
      </c>
      <c r="B200" s="1" t="s">
        <v>14</v>
      </c>
      <c r="G200" s="3">
        <f t="shared" si="3"/>
        <v>0</v>
      </c>
      <c r="H200" s="11">
        <f>SUM(G194:G200)</f>
        <v>2</v>
      </c>
    </row>
    <row r="201" spans="1:9">
      <c r="A201" s="2">
        <v>40980</v>
      </c>
      <c r="B201" s="1" t="s">
        <v>8</v>
      </c>
      <c r="C201" s="1">
        <v>11</v>
      </c>
      <c r="D201" s="3">
        <v>0.2951388888888889</v>
      </c>
      <c r="E201" s="3">
        <v>0.66319444444444442</v>
      </c>
      <c r="F201" s="3">
        <v>4.5138888888888888E-2</v>
      </c>
      <c r="G201" s="3">
        <f t="shared" si="3"/>
        <v>0.32291666666666663</v>
      </c>
      <c r="H201" s="11"/>
    </row>
    <row r="202" spans="1:9">
      <c r="A202" s="2">
        <v>40981</v>
      </c>
      <c r="B202" s="1" t="s">
        <v>9</v>
      </c>
      <c r="D202" s="3">
        <v>0.34375</v>
      </c>
      <c r="E202" s="3">
        <v>0.71180555555555547</v>
      </c>
      <c r="F202" s="3">
        <v>5.2083333333333336E-2</v>
      </c>
      <c r="G202" s="3">
        <f t="shared" si="3"/>
        <v>0.31597222222222215</v>
      </c>
      <c r="H202" s="11"/>
    </row>
    <row r="203" spans="1:9">
      <c r="A203" s="2">
        <v>40982</v>
      </c>
      <c r="B203" s="1" t="s">
        <v>10</v>
      </c>
      <c r="D203" s="3">
        <v>0.30555555555555552</v>
      </c>
      <c r="E203" s="3">
        <v>0.80555555555555547</v>
      </c>
      <c r="F203" s="3">
        <v>4.1666666666666664E-2</v>
      </c>
      <c r="G203" s="3">
        <f t="shared" si="3"/>
        <v>0.45833333333333326</v>
      </c>
      <c r="H203" s="11"/>
    </row>
    <row r="204" spans="1:9">
      <c r="A204" s="2">
        <v>40983</v>
      </c>
      <c r="B204" s="1" t="s">
        <v>11</v>
      </c>
      <c r="D204" s="3">
        <v>0.2951388888888889</v>
      </c>
      <c r="E204" s="3">
        <v>0.83333333333333337</v>
      </c>
      <c r="F204" s="3">
        <v>5.5555555555555552E-2</v>
      </c>
      <c r="G204" s="3">
        <f t="shared" si="3"/>
        <v>0.48263888888888884</v>
      </c>
      <c r="H204" s="11"/>
      <c r="I204" s="4" t="s">
        <v>44</v>
      </c>
    </row>
    <row r="205" spans="1:9">
      <c r="A205" s="2">
        <v>40984</v>
      </c>
      <c r="B205" s="1" t="s">
        <v>12</v>
      </c>
      <c r="D205" s="3">
        <v>0.34375</v>
      </c>
      <c r="E205" s="3">
        <v>0.70486111111111116</v>
      </c>
      <c r="F205" s="3">
        <v>4.1666666666666664E-2</v>
      </c>
      <c r="G205" s="3">
        <f t="shared" si="3"/>
        <v>0.31944444444444448</v>
      </c>
      <c r="H205" s="11"/>
    </row>
    <row r="206" spans="1:9">
      <c r="A206" s="2">
        <v>40985</v>
      </c>
      <c r="B206" s="1" t="s">
        <v>13</v>
      </c>
      <c r="G206" s="3">
        <f t="shared" si="3"/>
        <v>0</v>
      </c>
      <c r="H206" s="11"/>
    </row>
    <row r="207" spans="1:9">
      <c r="A207" s="2">
        <v>40986</v>
      </c>
      <c r="B207" s="1" t="s">
        <v>14</v>
      </c>
      <c r="G207" s="3">
        <f t="shared" si="3"/>
        <v>0</v>
      </c>
      <c r="H207" s="11">
        <f>SUM(G201:G207)</f>
        <v>1.8993055555555554</v>
      </c>
    </row>
    <row r="208" spans="1:9">
      <c r="A208" s="2">
        <v>40987</v>
      </c>
      <c r="B208" s="1" t="s">
        <v>8</v>
      </c>
      <c r="C208" s="1">
        <v>12</v>
      </c>
      <c r="D208" s="3">
        <v>0.2951388888888889</v>
      </c>
      <c r="E208" s="3">
        <v>0.80555555555555547</v>
      </c>
      <c r="F208" s="3">
        <v>4.1666666666666664E-2</v>
      </c>
      <c r="G208" s="3">
        <f t="shared" si="3"/>
        <v>0.46874999999999983</v>
      </c>
      <c r="H208" s="6"/>
    </row>
    <row r="209" spans="1:8">
      <c r="A209" s="2">
        <v>40988</v>
      </c>
      <c r="B209" s="1" t="s">
        <v>9</v>
      </c>
      <c r="D209" s="3">
        <v>0.32291666666666669</v>
      </c>
      <c r="E209" s="3">
        <v>0.71875</v>
      </c>
      <c r="F209" s="3">
        <v>4.5138888888888888E-2</v>
      </c>
      <c r="G209" s="3">
        <f t="shared" si="3"/>
        <v>0.35069444444444442</v>
      </c>
      <c r="H209" s="6"/>
    </row>
    <row r="210" spans="1:8">
      <c r="A210" s="2">
        <v>40989</v>
      </c>
      <c r="B210" s="1" t="s">
        <v>10</v>
      </c>
      <c r="D210" s="3">
        <v>0.2986111111111111</v>
      </c>
      <c r="E210" s="3">
        <v>0.78472222222222221</v>
      </c>
      <c r="F210" s="3">
        <v>3.8194444444444441E-2</v>
      </c>
      <c r="G210" s="3">
        <f t="shared" si="3"/>
        <v>0.44791666666666669</v>
      </c>
      <c r="H210" s="6"/>
    </row>
    <row r="211" spans="1:8">
      <c r="A211" s="2">
        <v>40990</v>
      </c>
      <c r="B211" s="1" t="s">
        <v>11</v>
      </c>
      <c r="G211" s="3">
        <f t="shared" si="3"/>
        <v>0</v>
      </c>
      <c r="H211" s="6"/>
    </row>
    <row r="212" spans="1:8">
      <c r="A212" s="2">
        <v>40991</v>
      </c>
      <c r="B212" s="1" t="s">
        <v>12</v>
      </c>
      <c r="G212" s="3">
        <f t="shared" si="3"/>
        <v>0</v>
      </c>
      <c r="H212" s="6"/>
    </row>
    <row r="213" spans="1:8">
      <c r="A213" s="2">
        <v>40992</v>
      </c>
      <c r="B213" s="1" t="s">
        <v>13</v>
      </c>
      <c r="G213" s="3">
        <f t="shared" si="3"/>
        <v>0</v>
      </c>
      <c r="H213" s="6"/>
    </row>
    <row r="214" spans="1:8">
      <c r="A214" s="2">
        <v>40993</v>
      </c>
      <c r="B214" s="1" t="s">
        <v>14</v>
      </c>
      <c r="G214" s="3">
        <f t="shared" si="3"/>
        <v>0</v>
      </c>
      <c r="H214" s="6">
        <f>SUM(G208:G214)</f>
        <v>1.2673611111111109</v>
      </c>
    </row>
    <row r="215" spans="1:8">
      <c r="A215" s="2">
        <v>40994</v>
      </c>
      <c r="B215" s="1" t="s">
        <v>8</v>
      </c>
      <c r="C215" s="1">
        <v>13</v>
      </c>
      <c r="G215" s="3">
        <f t="shared" si="3"/>
        <v>0</v>
      </c>
      <c r="H215" s="6"/>
    </row>
    <row r="216" spans="1:8">
      <c r="A216" s="2">
        <v>40995</v>
      </c>
      <c r="B216" s="1" t="s">
        <v>9</v>
      </c>
      <c r="G216" s="3">
        <f t="shared" si="3"/>
        <v>0</v>
      </c>
      <c r="H216" s="6"/>
    </row>
    <row r="217" spans="1:8">
      <c r="A217" s="2">
        <v>40996</v>
      </c>
      <c r="B217" s="1" t="s">
        <v>10</v>
      </c>
      <c r="G217" s="3">
        <f t="shared" si="3"/>
        <v>0</v>
      </c>
      <c r="H217" s="6"/>
    </row>
    <row r="218" spans="1:8">
      <c r="A218" s="2">
        <v>40997</v>
      </c>
      <c r="B218" s="1" t="s">
        <v>11</v>
      </c>
      <c r="G218" s="3">
        <f t="shared" si="3"/>
        <v>0</v>
      </c>
      <c r="H218" s="6"/>
    </row>
    <row r="219" spans="1:8">
      <c r="A219" s="2">
        <v>40998</v>
      </c>
      <c r="B219" s="1" t="s">
        <v>12</v>
      </c>
      <c r="G219" s="3">
        <f t="shared" si="3"/>
        <v>0</v>
      </c>
      <c r="H219" s="6"/>
    </row>
    <row r="220" spans="1:8">
      <c r="A220" s="2">
        <v>40999</v>
      </c>
      <c r="B220" s="1" t="s">
        <v>13</v>
      </c>
      <c r="G220" s="3">
        <f t="shared" si="3"/>
        <v>0</v>
      </c>
      <c r="H220" s="6"/>
    </row>
    <row r="221" spans="1:8">
      <c r="A221" s="2">
        <v>41000</v>
      </c>
      <c r="B221" s="1" t="s">
        <v>14</v>
      </c>
      <c r="G221" s="3">
        <f t="shared" si="3"/>
        <v>0</v>
      </c>
      <c r="H221" s="6">
        <f>SUM(G215:G221)</f>
        <v>0</v>
      </c>
    </row>
    <row r="222" spans="1:8">
      <c r="A222" s="2">
        <v>41001</v>
      </c>
      <c r="B222" s="1" t="s">
        <v>8</v>
      </c>
      <c r="C222" s="1">
        <v>14</v>
      </c>
      <c r="G222" s="3">
        <f t="shared" si="3"/>
        <v>0</v>
      </c>
      <c r="H222" s="6"/>
    </row>
    <row r="223" spans="1:8">
      <c r="A223" s="2">
        <v>41002</v>
      </c>
      <c r="B223" s="1" t="s">
        <v>9</v>
      </c>
      <c r="G223" s="3">
        <f t="shared" si="3"/>
        <v>0</v>
      </c>
      <c r="H223" s="6"/>
    </row>
    <row r="224" spans="1:8">
      <c r="A224" s="2">
        <v>41003</v>
      </c>
      <c r="B224" s="1" t="s">
        <v>10</v>
      </c>
      <c r="G224" s="3">
        <f t="shared" si="3"/>
        <v>0</v>
      </c>
      <c r="H224" s="6"/>
    </row>
    <row r="225" spans="1:8">
      <c r="A225" s="2">
        <v>41004</v>
      </c>
      <c r="B225" s="1" t="s">
        <v>11</v>
      </c>
      <c r="G225" s="3">
        <f t="shared" si="3"/>
        <v>0</v>
      </c>
      <c r="H225" s="6"/>
    </row>
    <row r="226" spans="1:8">
      <c r="A226" s="2">
        <v>41005</v>
      </c>
      <c r="B226" s="1" t="s">
        <v>12</v>
      </c>
      <c r="G226" s="3">
        <f t="shared" si="3"/>
        <v>0</v>
      </c>
      <c r="H226" s="6"/>
    </row>
    <row r="227" spans="1:8">
      <c r="A227" s="2">
        <v>41006</v>
      </c>
      <c r="B227" s="1" t="s">
        <v>13</v>
      </c>
      <c r="G227" s="3">
        <f t="shared" si="3"/>
        <v>0</v>
      </c>
      <c r="H227" s="6"/>
    </row>
    <row r="228" spans="1:8">
      <c r="A228" s="2">
        <v>41007</v>
      </c>
      <c r="B228" s="1" t="s">
        <v>14</v>
      </c>
      <c r="G228" s="3">
        <f t="shared" si="3"/>
        <v>0</v>
      </c>
      <c r="H228" s="6">
        <f>SUM(G222:G228)</f>
        <v>0</v>
      </c>
    </row>
    <row r="229" spans="1:8">
      <c r="A229" s="2">
        <v>41008</v>
      </c>
      <c r="B229" s="1" t="s">
        <v>8</v>
      </c>
      <c r="C229" s="1">
        <v>15</v>
      </c>
      <c r="G229" s="3">
        <f t="shared" si="3"/>
        <v>0</v>
      </c>
      <c r="H229" s="6"/>
    </row>
    <row r="230" spans="1:8">
      <c r="A230" s="2">
        <v>41009</v>
      </c>
      <c r="B230" s="1" t="s">
        <v>9</v>
      </c>
      <c r="G230" s="3">
        <f t="shared" si="3"/>
        <v>0</v>
      </c>
      <c r="H230" s="6"/>
    </row>
    <row r="231" spans="1:8">
      <c r="A231" s="2">
        <v>41010</v>
      </c>
      <c r="B231" s="1" t="s">
        <v>10</v>
      </c>
      <c r="G231" s="3">
        <f t="shared" si="3"/>
        <v>0</v>
      </c>
      <c r="H231" s="6"/>
    </row>
    <row r="232" spans="1:8">
      <c r="A232" s="2">
        <v>41011</v>
      </c>
      <c r="B232" s="1" t="s">
        <v>11</v>
      </c>
      <c r="G232" s="3">
        <f t="shared" si="3"/>
        <v>0</v>
      </c>
      <c r="H232" s="6"/>
    </row>
    <row r="233" spans="1:8">
      <c r="A233" s="2">
        <v>41012</v>
      </c>
      <c r="B233" s="1" t="s">
        <v>12</v>
      </c>
      <c r="G233" s="3">
        <f t="shared" si="3"/>
        <v>0</v>
      </c>
      <c r="H233" s="6"/>
    </row>
    <row r="234" spans="1:8">
      <c r="A234" s="2">
        <v>41013</v>
      </c>
      <c r="B234" s="1" t="s">
        <v>13</v>
      </c>
      <c r="G234" s="3">
        <f t="shared" si="3"/>
        <v>0</v>
      </c>
      <c r="H234" s="6"/>
    </row>
    <row r="235" spans="1:8">
      <c r="A235" s="2">
        <v>41014</v>
      </c>
      <c r="B235" s="1" t="s">
        <v>14</v>
      </c>
      <c r="G235" s="3">
        <f t="shared" si="3"/>
        <v>0</v>
      </c>
      <c r="H235" s="6">
        <f>SUM(G229:G235)</f>
        <v>0</v>
      </c>
    </row>
    <row r="236" spans="1:8">
      <c r="A236" s="2">
        <v>41015</v>
      </c>
      <c r="B236" s="1" t="s">
        <v>8</v>
      </c>
      <c r="C236" s="1">
        <v>16</v>
      </c>
      <c r="G236" s="3">
        <f t="shared" si="3"/>
        <v>0</v>
      </c>
      <c r="H236" s="6"/>
    </row>
    <row r="237" spans="1:8">
      <c r="A237" s="2">
        <v>41016</v>
      </c>
      <c r="B237" s="1" t="s">
        <v>9</v>
      </c>
      <c r="G237" s="3">
        <f t="shared" si="3"/>
        <v>0</v>
      </c>
      <c r="H237" s="6"/>
    </row>
    <row r="238" spans="1:8">
      <c r="A238" s="2">
        <v>41017</v>
      </c>
      <c r="B238" s="1" t="s">
        <v>10</v>
      </c>
      <c r="G238" s="3">
        <f t="shared" si="3"/>
        <v>0</v>
      </c>
      <c r="H238" s="6"/>
    </row>
    <row r="239" spans="1:8">
      <c r="A239" s="2">
        <v>41018</v>
      </c>
      <c r="B239" s="1" t="s">
        <v>11</v>
      </c>
      <c r="G239" s="3">
        <f t="shared" si="3"/>
        <v>0</v>
      </c>
      <c r="H239" s="6"/>
    </row>
    <row r="240" spans="1:8">
      <c r="A240" s="2">
        <v>41019</v>
      </c>
      <c r="B240" s="1" t="s">
        <v>12</v>
      </c>
      <c r="G240" s="3">
        <f t="shared" si="3"/>
        <v>0</v>
      </c>
      <c r="H240" s="6"/>
    </row>
    <row r="241" spans="1:8">
      <c r="A241" s="2">
        <v>41020</v>
      </c>
      <c r="B241" s="1" t="s">
        <v>13</v>
      </c>
      <c r="G241" s="3">
        <f t="shared" si="3"/>
        <v>0</v>
      </c>
      <c r="H241" s="6"/>
    </row>
    <row r="242" spans="1:8">
      <c r="A242" s="2">
        <v>41021</v>
      </c>
      <c r="B242" s="1" t="s">
        <v>14</v>
      </c>
      <c r="G242" s="3">
        <f t="shared" si="3"/>
        <v>0</v>
      </c>
      <c r="H242" s="6">
        <f>SUM(G236:G242)</f>
        <v>0</v>
      </c>
    </row>
    <row r="243" spans="1:8">
      <c r="A243" s="2">
        <v>41022</v>
      </c>
      <c r="B243" s="1" t="s">
        <v>8</v>
      </c>
      <c r="C243" s="1">
        <v>17</v>
      </c>
      <c r="G243" s="3">
        <f t="shared" si="3"/>
        <v>0</v>
      </c>
      <c r="H243" s="6"/>
    </row>
    <row r="244" spans="1:8">
      <c r="A244" s="2">
        <v>41023</v>
      </c>
      <c r="B244" s="1" t="s">
        <v>9</v>
      </c>
      <c r="G244" s="3">
        <f t="shared" si="3"/>
        <v>0</v>
      </c>
      <c r="H244" s="6"/>
    </row>
    <row r="245" spans="1:8">
      <c r="A245" s="2">
        <v>41024</v>
      </c>
      <c r="B245" s="1" t="s">
        <v>10</v>
      </c>
      <c r="G245" s="3">
        <f t="shared" si="3"/>
        <v>0</v>
      </c>
      <c r="H245" s="6"/>
    </row>
    <row r="246" spans="1:8">
      <c r="A246" s="2">
        <v>41025</v>
      </c>
      <c r="B246" s="1" t="s">
        <v>11</v>
      </c>
      <c r="G246" s="3">
        <f t="shared" si="3"/>
        <v>0</v>
      </c>
      <c r="H246" s="6"/>
    </row>
    <row r="247" spans="1:8">
      <c r="A247" s="2">
        <v>41026</v>
      </c>
      <c r="B247" s="1" t="s">
        <v>12</v>
      </c>
      <c r="G247" s="3">
        <f t="shared" si="3"/>
        <v>0</v>
      </c>
      <c r="H247" s="6"/>
    </row>
    <row r="248" spans="1:8">
      <c r="A248" s="2">
        <v>41027</v>
      </c>
      <c r="B248" s="1" t="s">
        <v>13</v>
      </c>
      <c r="G248" s="3">
        <f t="shared" si="3"/>
        <v>0</v>
      </c>
      <c r="H248" s="6"/>
    </row>
    <row r="249" spans="1:8">
      <c r="A249" s="2">
        <v>41028</v>
      </c>
      <c r="B249" s="1" t="s">
        <v>14</v>
      </c>
      <c r="G249" s="3">
        <f t="shared" si="3"/>
        <v>0</v>
      </c>
      <c r="H249" s="6">
        <f>SUM(G243:G249)</f>
        <v>0</v>
      </c>
    </row>
    <row r="250" spans="1:8">
      <c r="A250" s="2">
        <v>41029</v>
      </c>
      <c r="B250" s="1" t="s">
        <v>8</v>
      </c>
      <c r="C250" s="1">
        <v>18</v>
      </c>
      <c r="G250" s="3">
        <f t="shared" si="3"/>
        <v>0</v>
      </c>
      <c r="H250" s="6"/>
    </row>
    <row r="251" spans="1:8">
      <c r="A251" s="2">
        <v>41030</v>
      </c>
      <c r="B251" s="1" t="s">
        <v>9</v>
      </c>
      <c r="G251" s="3">
        <f t="shared" si="3"/>
        <v>0</v>
      </c>
      <c r="H251" s="6"/>
    </row>
    <row r="252" spans="1:8">
      <c r="A252" s="2">
        <v>41031</v>
      </c>
      <c r="B252" s="1" t="s">
        <v>10</v>
      </c>
      <c r="G252" s="3">
        <f t="shared" si="3"/>
        <v>0</v>
      </c>
      <c r="H252" s="6"/>
    </row>
    <row r="253" spans="1:8">
      <c r="A253" s="2">
        <v>41032</v>
      </c>
      <c r="B253" s="1" t="s">
        <v>11</v>
      </c>
      <c r="G253" s="3">
        <f t="shared" si="3"/>
        <v>0</v>
      </c>
      <c r="H253" s="6"/>
    </row>
    <row r="254" spans="1:8">
      <c r="A254" s="2">
        <v>41033</v>
      </c>
      <c r="B254" s="1" t="s">
        <v>12</v>
      </c>
      <c r="G254" s="3">
        <f t="shared" si="3"/>
        <v>0</v>
      </c>
      <c r="H254" s="6"/>
    </row>
    <row r="255" spans="1:8">
      <c r="A255" s="2">
        <v>41034</v>
      </c>
      <c r="B255" s="1" t="s">
        <v>13</v>
      </c>
      <c r="G255" s="3">
        <f t="shared" si="3"/>
        <v>0</v>
      </c>
      <c r="H255" s="6"/>
    </row>
    <row r="256" spans="1:8">
      <c r="A256" s="2">
        <v>41035</v>
      </c>
      <c r="B256" s="1" t="s">
        <v>14</v>
      </c>
      <c r="G256" s="3">
        <f t="shared" si="3"/>
        <v>0</v>
      </c>
      <c r="H256" s="6">
        <f>SUM(G250:G256)</f>
        <v>0</v>
      </c>
    </row>
    <row r="257" spans="1:8">
      <c r="A257" s="2">
        <v>41036</v>
      </c>
      <c r="B257" s="1" t="s">
        <v>8</v>
      </c>
      <c r="C257" s="1">
        <v>19</v>
      </c>
      <c r="G257" s="3">
        <f t="shared" si="3"/>
        <v>0</v>
      </c>
      <c r="H257" s="6"/>
    </row>
    <row r="258" spans="1:8">
      <c r="A258" s="2">
        <v>41037</v>
      </c>
      <c r="B258" s="1" t="s">
        <v>9</v>
      </c>
      <c r="G258" s="3">
        <f t="shared" si="3"/>
        <v>0</v>
      </c>
      <c r="H258" s="6"/>
    </row>
    <row r="259" spans="1:8">
      <c r="A259" s="2">
        <v>41038</v>
      </c>
      <c r="B259" s="1" t="s">
        <v>10</v>
      </c>
      <c r="G259" s="3">
        <f t="shared" si="3"/>
        <v>0</v>
      </c>
      <c r="H259" s="6"/>
    </row>
    <row r="260" spans="1:8">
      <c r="A260" s="2">
        <v>41039</v>
      </c>
      <c r="B260" s="1" t="s">
        <v>11</v>
      </c>
      <c r="G260" s="3">
        <f t="shared" si="3"/>
        <v>0</v>
      </c>
      <c r="H260" s="6"/>
    </row>
    <row r="261" spans="1:8">
      <c r="A261" s="2">
        <v>41040</v>
      </c>
      <c r="B261" s="1" t="s">
        <v>12</v>
      </c>
      <c r="G261" s="3">
        <f t="shared" si="3"/>
        <v>0</v>
      </c>
      <c r="H261" s="6"/>
    </row>
    <row r="262" spans="1:8">
      <c r="A262" s="2">
        <v>41041</v>
      </c>
      <c r="B262" s="1" t="s">
        <v>13</v>
      </c>
      <c r="G262" s="3">
        <f t="shared" si="3"/>
        <v>0</v>
      </c>
      <c r="H262" s="6"/>
    </row>
    <row r="263" spans="1:8">
      <c r="A263" s="2">
        <v>41042</v>
      </c>
      <c r="B263" s="1" t="s">
        <v>14</v>
      </c>
      <c r="G263" s="3">
        <f t="shared" ref="G263:G326" si="4">E263-D263-F263</f>
        <v>0</v>
      </c>
      <c r="H263" s="6">
        <f>SUM(G257:G263)</f>
        <v>0</v>
      </c>
    </row>
    <row r="264" spans="1:8">
      <c r="A264" s="2">
        <v>41043</v>
      </c>
      <c r="B264" s="1" t="s">
        <v>8</v>
      </c>
      <c r="C264" s="1">
        <v>20</v>
      </c>
      <c r="G264" s="3">
        <f t="shared" si="4"/>
        <v>0</v>
      </c>
      <c r="H264" s="6"/>
    </row>
    <row r="265" spans="1:8">
      <c r="A265" s="2">
        <v>41044</v>
      </c>
      <c r="B265" s="1" t="s">
        <v>9</v>
      </c>
      <c r="G265" s="3">
        <f t="shared" si="4"/>
        <v>0</v>
      </c>
      <c r="H265" s="6"/>
    </row>
    <row r="266" spans="1:8">
      <c r="A266" s="2">
        <v>41045</v>
      </c>
      <c r="B266" s="1" t="s">
        <v>10</v>
      </c>
      <c r="G266" s="3">
        <f t="shared" si="4"/>
        <v>0</v>
      </c>
      <c r="H266" s="6"/>
    </row>
    <row r="267" spans="1:8">
      <c r="A267" s="2">
        <v>41046</v>
      </c>
      <c r="B267" s="1" t="s">
        <v>11</v>
      </c>
      <c r="G267" s="3">
        <f t="shared" si="4"/>
        <v>0</v>
      </c>
      <c r="H267" s="6"/>
    </row>
    <row r="268" spans="1:8">
      <c r="A268" s="2">
        <v>41047</v>
      </c>
      <c r="B268" s="1" t="s">
        <v>12</v>
      </c>
      <c r="G268" s="3">
        <f t="shared" si="4"/>
        <v>0</v>
      </c>
      <c r="H268" s="6"/>
    </row>
    <row r="269" spans="1:8">
      <c r="A269" s="2">
        <v>41048</v>
      </c>
      <c r="B269" s="1" t="s">
        <v>13</v>
      </c>
      <c r="G269" s="3">
        <f t="shared" si="4"/>
        <v>0</v>
      </c>
      <c r="H269" s="6"/>
    </row>
    <row r="270" spans="1:8">
      <c r="A270" s="2">
        <v>41049</v>
      </c>
      <c r="B270" s="1" t="s">
        <v>14</v>
      </c>
      <c r="G270" s="3">
        <f t="shared" si="4"/>
        <v>0</v>
      </c>
      <c r="H270" s="6">
        <f>SUM(G264:G270)</f>
        <v>0</v>
      </c>
    </row>
    <row r="271" spans="1:8">
      <c r="A271" s="2">
        <v>41050</v>
      </c>
      <c r="B271" s="1" t="s">
        <v>8</v>
      </c>
      <c r="C271" s="1">
        <v>21</v>
      </c>
      <c r="G271" s="3">
        <f t="shared" si="4"/>
        <v>0</v>
      </c>
      <c r="H271" s="6"/>
    </row>
    <row r="272" spans="1:8">
      <c r="A272" s="2">
        <v>41051</v>
      </c>
      <c r="B272" s="1" t="s">
        <v>9</v>
      </c>
      <c r="G272" s="3">
        <f t="shared" si="4"/>
        <v>0</v>
      </c>
      <c r="H272" s="6"/>
    </row>
    <row r="273" spans="1:8">
      <c r="A273" s="2">
        <v>41052</v>
      </c>
      <c r="B273" s="1" t="s">
        <v>10</v>
      </c>
      <c r="G273" s="3">
        <f t="shared" si="4"/>
        <v>0</v>
      </c>
      <c r="H273" s="6"/>
    </row>
    <row r="274" spans="1:8">
      <c r="A274" s="2">
        <v>41053</v>
      </c>
      <c r="B274" s="1" t="s">
        <v>11</v>
      </c>
      <c r="G274" s="3">
        <f t="shared" si="4"/>
        <v>0</v>
      </c>
      <c r="H274" s="6"/>
    </row>
    <row r="275" spans="1:8">
      <c r="A275" s="2">
        <v>41054</v>
      </c>
      <c r="B275" s="1" t="s">
        <v>12</v>
      </c>
      <c r="G275" s="3">
        <f t="shared" si="4"/>
        <v>0</v>
      </c>
      <c r="H275" s="6"/>
    </row>
    <row r="276" spans="1:8">
      <c r="A276" s="2">
        <v>41055</v>
      </c>
      <c r="B276" s="1" t="s">
        <v>13</v>
      </c>
      <c r="G276" s="3">
        <f t="shared" si="4"/>
        <v>0</v>
      </c>
      <c r="H276" s="6"/>
    </row>
    <row r="277" spans="1:8">
      <c r="A277" s="2">
        <v>41056</v>
      </c>
      <c r="B277" s="1" t="s">
        <v>14</v>
      </c>
      <c r="G277" s="3">
        <f t="shared" si="4"/>
        <v>0</v>
      </c>
      <c r="H277" s="6">
        <f>SUM(G271:G277)</f>
        <v>0</v>
      </c>
    </row>
    <row r="278" spans="1:8">
      <c r="A278" s="2">
        <v>41057</v>
      </c>
      <c r="B278" s="1" t="s">
        <v>8</v>
      </c>
      <c r="C278" s="1">
        <v>22</v>
      </c>
      <c r="G278" s="3">
        <f t="shared" si="4"/>
        <v>0</v>
      </c>
      <c r="H278" s="6"/>
    </row>
    <row r="279" spans="1:8">
      <c r="A279" s="2">
        <v>41058</v>
      </c>
      <c r="B279" s="1" t="s">
        <v>9</v>
      </c>
      <c r="G279" s="3">
        <f t="shared" si="4"/>
        <v>0</v>
      </c>
      <c r="H279" s="6"/>
    </row>
    <row r="280" spans="1:8">
      <c r="A280" s="2">
        <v>41059</v>
      </c>
      <c r="B280" s="1" t="s">
        <v>10</v>
      </c>
      <c r="G280" s="3">
        <f t="shared" si="4"/>
        <v>0</v>
      </c>
      <c r="H280" s="6"/>
    </row>
    <row r="281" spans="1:8">
      <c r="A281" s="2">
        <v>41060</v>
      </c>
      <c r="B281" s="1" t="s">
        <v>11</v>
      </c>
      <c r="G281" s="3">
        <f t="shared" si="4"/>
        <v>0</v>
      </c>
      <c r="H281" s="6"/>
    </row>
    <row r="282" spans="1:8">
      <c r="A282" s="2">
        <v>41061</v>
      </c>
      <c r="B282" s="1" t="s">
        <v>12</v>
      </c>
      <c r="G282" s="3">
        <f t="shared" si="4"/>
        <v>0</v>
      </c>
      <c r="H282" s="6"/>
    </row>
    <row r="283" spans="1:8">
      <c r="A283" s="2">
        <v>41062</v>
      </c>
      <c r="B283" s="1" t="s">
        <v>13</v>
      </c>
      <c r="G283" s="3">
        <f t="shared" si="4"/>
        <v>0</v>
      </c>
      <c r="H283" s="6"/>
    </row>
    <row r="284" spans="1:8">
      <c r="A284" s="2">
        <v>41063</v>
      </c>
      <c r="B284" s="1" t="s">
        <v>14</v>
      </c>
      <c r="G284" s="3">
        <f t="shared" si="4"/>
        <v>0</v>
      </c>
      <c r="H284" s="6">
        <f>SUM(G278:G284)</f>
        <v>0</v>
      </c>
    </row>
    <row r="285" spans="1:8">
      <c r="A285" s="2">
        <v>41064</v>
      </c>
      <c r="B285" s="1" t="s">
        <v>8</v>
      </c>
      <c r="C285" s="1">
        <v>23</v>
      </c>
      <c r="G285" s="3">
        <f t="shared" si="4"/>
        <v>0</v>
      </c>
      <c r="H285" s="6"/>
    </row>
    <row r="286" spans="1:8">
      <c r="A286" s="2">
        <v>41065</v>
      </c>
      <c r="B286" s="1" t="s">
        <v>9</v>
      </c>
      <c r="G286" s="3">
        <f t="shared" si="4"/>
        <v>0</v>
      </c>
      <c r="H286" s="6"/>
    </row>
    <row r="287" spans="1:8">
      <c r="A287" s="2">
        <v>41066</v>
      </c>
      <c r="B287" s="1" t="s">
        <v>10</v>
      </c>
      <c r="G287" s="3">
        <f t="shared" si="4"/>
        <v>0</v>
      </c>
      <c r="H287" s="6"/>
    </row>
    <row r="288" spans="1:8">
      <c r="A288" s="2">
        <v>41067</v>
      </c>
      <c r="B288" s="1" t="s">
        <v>11</v>
      </c>
      <c r="G288" s="3">
        <f t="shared" si="4"/>
        <v>0</v>
      </c>
      <c r="H288" s="6"/>
    </row>
    <row r="289" spans="1:8">
      <c r="A289" s="2">
        <v>41068</v>
      </c>
      <c r="B289" s="1" t="s">
        <v>12</v>
      </c>
      <c r="G289" s="3">
        <f t="shared" si="4"/>
        <v>0</v>
      </c>
      <c r="H289" s="6"/>
    </row>
    <row r="290" spans="1:8">
      <c r="A290" s="2">
        <v>41069</v>
      </c>
      <c r="B290" s="1" t="s">
        <v>13</v>
      </c>
      <c r="G290" s="3">
        <f t="shared" si="4"/>
        <v>0</v>
      </c>
      <c r="H290" s="6"/>
    </row>
    <row r="291" spans="1:8">
      <c r="A291" s="2">
        <v>41070</v>
      </c>
      <c r="B291" s="1" t="s">
        <v>14</v>
      </c>
      <c r="G291" s="3">
        <f t="shared" si="4"/>
        <v>0</v>
      </c>
      <c r="H291" s="6">
        <f>SUM(G285:G291)</f>
        <v>0</v>
      </c>
    </row>
    <row r="292" spans="1:8">
      <c r="A292" s="2">
        <v>41071</v>
      </c>
      <c r="B292" s="1" t="s">
        <v>8</v>
      </c>
      <c r="C292" s="1">
        <v>24</v>
      </c>
      <c r="G292" s="3">
        <f t="shared" si="4"/>
        <v>0</v>
      </c>
      <c r="H292" s="6"/>
    </row>
    <row r="293" spans="1:8">
      <c r="A293" s="2">
        <v>41072</v>
      </c>
      <c r="B293" s="1" t="s">
        <v>9</v>
      </c>
      <c r="G293" s="3">
        <f t="shared" si="4"/>
        <v>0</v>
      </c>
      <c r="H293" s="6"/>
    </row>
    <row r="294" spans="1:8">
      <c r="A294" s="2">
        <v>41073</v>
      </c>
      <c r="B294" s="1" t="s">
        <v>10</v>
      </c>
      <c r="G294" s="3">
        <f t="shared" si="4"/>
        <v>0</v>
      </c>
      <c r="H294" s="6"/>
    </row>
    <row r="295" spans="1:8">
      <c r="A295" s="2">
        <v>41074</v>
      </c>
      <c r="B295" s="1" t="s">
        <v>11</v>
      </c>
      <c r="G295" s="3">
        <f t="shared" si="4"/>
        <v>0</v>
      </c>
      <c r="H295" s="6"/>
    </row>
    <row r="296" spans="1:8">
      <c r="A296" s="2">
        <v>41075</v>
      </c>
      <c r="B296" s="1" t="s">
        <v>12</v>
      </c>
      <c r="G296" s="3">
        <f t="shared" si="4"/>
        <v>0</v>
      </c>
      <c r="H296" s="6"/>
    </row>
    <row r="297" spans="1:8">
      <c r="A297" s="2">
        <v>41076</v>
      </c>
      <c r="B297" s="1" t="s">
        <v>13</v>
      </c>
      <c r="G297" s="3">
        <f t="shared" si="4"/>
        <v>0</v>
      </c>
      <c r="H297" s="6"/>
    </row>
    <row r="298" spans="1:8">
      <c r="A298" s="2">
        <v>41077</v>
      </c>
      <c r="B298" s="1" t="s">
        <v>14</v>
      </c>
      <c r="G298" s="3">
        <f t="shared" si="4"/>
        <v>0</v>
      </c>
      <c r="H298" s="6">
        <f>SUM(G292:G298)</f>
        <v>0</v>
      </c>
    </row>
    <row r="299" spans="1:8">
      <c r="A299" s="2">
        <v>41078</v>
      </c>
      <c r="B299" s="1" t="s">
        <v>8</v>
      </c>
      <c r="C299" s="1">
        <v>25</v>
      </c>
      <c r="G299" s="3">
        <f t="shared" si="4"/>
        <v>0</v>
      </c>
      <c r="H299" s="6"/>
    </row>
    <row r="300" spans="1:8">
      <c r="A300" s="2">
        <v>41079</v>
      </c>
      <c r="B300" s="1" t="s">
        <v>9</v>
      </c>
      <c r="G300" s="3">
        <f t="shared" si="4"/>
        <v>0</v>
      </c>
      <c r="H300" s="6"/>
    </row>
    <row r="301" spans="1:8">
      <c r="A301" s="2">
        <v>41080</v>
      </c>
      <c r="B301" s="1" t="s">
        <v>10</v>
      </c>
      <c r="G301" s="3">
        <f t="shared" si="4"/>
        <v>0</v>
      </c>
      <c r="H301" s="6"/>
    </row>
    <row r="302" spans="1:8">
      <c r="A302" s="2">
        <v>41081</v>
      </c>
      <c r="B302" s="1" t="s">
        <v>11</v>
      </c>
      <c r="G302" s="3">
        <f t="shared" si="4"/>
        <v>0</v>
      </c>
      <c r="H302" s="6"/>
    </row>
    <row r="303" spans="1:8">
      <c r="A303" s="2">
        <v>41082</v>
      </c>
      <c r="B303" s="1" t="s">
        <v>12</v>
      </c>
      <c r="G303" s="3">
        <f t="shared" si="4"/>
        <v>0</v>
      </c>
      <c r="H303" s="6"/>
    </row>
    <row r="304" spans="1:8">
      <c r="A304" s="2">
        <v>41083</v>
      </c>
      <c r="B304" s="1" t="s">
        <v>13</v>
      </c>
      <c r="G304" s="3">
        <f t="shared" si="4"/>
        <v>0</v>
      </c>
      <c r="H304" s="6"/>
    </row>
    <row r="305" spans="1:8">
      <c r="A305" s="2">
        <v>41084</v>
      </c>
      <c r="B305" s="1" t="s">
        <v>14</v>
      </c>
      <c r="G305" s="3">
        <f t="shared" si="4"/>
        <v>0</v>
      </c>
      <c r="H305" s="6">
        <f>SUM(G299:G305)</f>
        <v>0</v>
      </c>
    </row>
    <row r="306" spans="1:8">
      <c r="A306" s="2">
        <v>41085</v>
      </c>
      <c r="B306" s="1" t="s">
        <v>8</v>
      </c>
      <c r="C306" s="1">
        <v>26</v>
      </c>
      <c r="G306" s="3">
        <f t="shared" si="4"/>
        <v>0</v>
      </c>
      <c r="H306" s="6"/>
    </row>
    <row r="307" spans="1:8">
      <c r="A307" s="2">
        <v>41086</v>
      </c>
      <c r="B307" s="1" t="s">
        <v>9</v>
      </c>
      <c r="G307" s="3">
        <f t="shared" si="4"/>
        <v>0</v>
      </c>
      <c r="H307" s="6"/>
    </row>
    <row r="308" spans="1:8">
      <c r="A308" s="2">
        <v>41087</v>
      </c>
      <c r="B308" s="1" t="s">
        <v>10</v>
      </c>
      <c r="G308" s="3">
        <f t="shared" si="4"/>
        <v>0</v>
      </c>
      <c r="H308" s="6"/>
    </row>
    <row r="309" spans="1:8">
      <c r="A309" s="2">
        <v>41088</v>
      </c>
      <c r="B309" s="1" t="s">
        <v>11</v>
      </c>
      <c r="G309" s="3">
        <f t="shared" si="4"/>
        <v>0</v>
      </c>
      <c r="H309" s="6"/>
    </row>
    <row r="310" spans="1:8">
      <c r="A310" s="2">
        <v>41089</v>
      </c>
      <c r="B310" s="1" t="s">
        <v>12</v>
      </c>
      <c r="G310" s="3">
        <f t="shared" si="4"/>
        <v>0</v>
      </c>
      <c r="H310" s="6"/>
    </row>
    <row r="311" spans="1:8">
      <c r="A311" s="2">
        <v>41090</v>
      </c>
      <c r="B311" s="1" t="s">
        <v>13</v>
      </c>
      <c r="G311" s="3">
        <f t="shared" si="4"/>
        <v>0</v>
      </c>
      <c r="H311" s="6"/>
    </row>
    <row r="312" spans="1:8">
      <c r="A312" s="2">
        <v>41091</v>
      </c>
      <c r="B312" s="1" t="s">
        <v>14</v>
      </c>
      <c r="G312" s="3">
        <f t="shared" si="4"/>
        <v>0</v>
      </c>
      <c r="H312" s="6">
        <f>SUM(G306:G312)</f>
        <v>0</v>
      </c>
    </row>
    <row r="313" spans="1:8">
      <c r="A313" s="2">
        <v>41092</v>
      </c>
      <c r="B313" s="1" t="s">
        <v>8</v>
      </c>
      <c r="C313" s="1">
        <v>27</v>
      </c>
      <c r="G313" s="3">
        <f t="shared" si="4"/>
        <v>0</v>
      </c>
    </row>
    <row r="314" spans="1:8">
      <c r="A314" s="2">
        <v>41093</v>
      </c>
      <c r="B314" s="1" t="s">
        <v>9</v>
      </c>
      <c r="G314" s="3">
        <f t="shared" si="4"/>
        <v>0</v>
      </c>
    </row>
    <row r="315" spans="1:8">
      <c r="A315" s="2">
        <v>41094</v>
      </c>
      <c r="B315" s="1" t="s">
        <v>10</v>
      </c>
      <c r="G315" s="3">
        <f t="shared" si="4"/>
        <v>0</v>
      </c>
    </row>
    <row r="316" spans="1:8">
      <c r="A316" s="2">
        <v>41095</v>
      </c>
      <c r="B316" s="1" t="s">
        <v>11</v>
      </c>
      <c r="G316" s="3">
        <f t="shared" si="4"/>
        <v>0</v>
      </c>
    </row>
    <row r="317" spans="1:8">
      <c r="A317" s="2">
        <v>41096</v>
      </c>
      <c r="B317" s="1" t="s">
        <v>12</v>
      </c>
      <c r="G317" s="3">
        <f t="shared" si="4"/>
        <v>0</v>
      </c>
    </row>
    <row r="318" spans="1:8">
      <c r="A318" s="2">
        <v>41097</v>
      </c>
      <c r="B318" s="1" t="s">
        <v>13</v>
      </c>
      <c r="G318" s="3">
        <f t="shared" si="4"/>
        <v>0</v>
      </c>
    </row>
    <row r="319" spans="1:8">
      <c r="A319" s="2">
        <v>41098</v>
      </c>
      <c r="B319" s="1" t="s">
        <v>14</v>
      </c>
      <c r="G319" s="3">
        <f t="shared" si="4"/>
        <v>0</v>
      </c>
    </row>
    <row r="320" spans="1:8">
      <c r="A320" s="2">
        <v>41099</v>
      </c>
      <c r="B320" s="1" t="s">
        <v>8</v>
      </c>
      <c r="C320" s="1">
        <v>28</v>
      </c>
      <c r="G320" s="3">
        <f t="shared" si="4"/>
        <v>0</v>
      </c>
    </row>
    <row r="321" spans="1:7">
      <c r="A321" s="2">
        <v>41100</v>
      </c>
      <c r="B321" s="1" t="s">
        <v>9</v>
      </c>
      <c r="G321" s="3">
        <f t="shared" si="4"/>
        <v>0</v>
      </c>
    </row>
    <row r="322" spans="1:7">
      <c r="A322" s="2">
        <v>41101</v>
      </c>
      <c r="B322" s="1" t="s">
        <v>10</v>
      </c>
      <c r="G322" s="3">
        <f t="shared" si="4"/>
        <v>0</v>
      </c>
    </row>
    <row r="323" spans="1:7">
      <c r="A323" s="2">
        <v>41102</v>
      </c>
      <c r="B323" s="1" t="s">
        <v>11</v>
      </c>
      <c r="G323" s="3">
        <f t="shared" si="4"/>
        <v>0</v>
      </c>
    </row>
    <row r="324" spans="1:7">
      <c r="A324" s="2">
        <v>41103</v>
      </c>
      <c r="B324" s="1" t="s">
        <v>12</v>
      </c>
      <c r="G324" s="3">
        <f t="shared" si="4"/>
        <v>0</v>
      </c>
    </row>
    <row r="325" spans="1:7">
      <c r="A325" s="2">
        <v>41104</v>
      </c>
      <c r="B325" s="1" t="s">
        <v>13</v>
      </c>
      <c r="G325" s="3">
        <f t="shared" si="4"/>
        <v>0</v>
      </c>
    </row>
    <row r="326" spans="1:7">
      <c r="A326" s="2">
        <v>41105</v>
      </c>
      <c r="B326" s="1" t="s">
        <v>14</v>
      </c>
      <c r="G326" s="3">
        <f t="shared" si="4"/>
        <v>0</v>
      </c>
    </row>
    <row r="327" spans="1:7">
      <c r="A327" s="2">
        <v>41106</v>
      </c>
      <c r="B327" s="1" t="s">
        <v>8</v>
      </c>
      <c r="C327" s="1">
        <v>29</v>
      </c>
      <c r="G327" s="3">
        <f t="shared" ref="G327:G390" si="5">E327-D327-F327</f>
        <v>0</v>
      </c>
    </row>
    <row r="328" spans="1:7">
      <c r="A328" s="2">
        <v>41107</v>
      </c>
      <c r="B328" s="1" t="s">
        <v>9</v>
      </c>
      <c r="G328" s="3">
        <f t="shared" si="5"/>
        <v>0</v>
      </c>
    </row>
    <row r="329" spans="1:7">
      <c r="A329" s="2">
        <v>41108</v>
      </c>
      <c r="B329" s="1" t="s">
        <v>10</v>
      </c>
      <c r="G329" s="3">
        <f t="shared" si="5"/>
        <v>0</v>
      </c>
    </row>
    <row r="330" spans="1:7">
      <c r="A330" s="2">
        <v>41109</v>
      </c>
      <c r="B330" s="1" t="s">
        <v>11</v>
      </c>
      <c r="G330" s="3">
        <f t="shared" si="5"/>
        <v>0</v>
      </c>
    </row>
    <row r="331" spans="1:7">
      <c r="A331" s="2">
        <v>41110</v>
      </c>
      <c r="B331" s="1" t="s">
        <v>12</v>
      </c>
      <c r="G331" s="3">
        <f t="shared" si="5"/>
        <v>0</v>
      </c>
    </row>
    <row r="332" spans="1:7">
      <c r="A332" s="2">
        <v>41111</v>
      </c>
      <c r="B332" s="1" t="s">
        <v>13</v>
      </c>
      <c r="G332" s="3">
        <f t="shared" si="5"/>
        <v>0</v>
      </c>
    </row>
    <row r="333" spans="1:7">
      <c r="A333" s="2">
        <v>41112</v>
      </c>
      <c r="B333" s="1" t="s">
        <v>14</v>
      </c>
      <c r="G333" s="3">
        <f t="shared" si="5"/>
        <v>0</v>
      </c>
    </row>
    <row r="334" spans="1:7">
      <c r="A334" s="2">
        <v>41113</v>
      </c>
      <c r="B334" s="1" t="s">
        <v>8</v>
      </c>
      <c r="C334" s="1">
        <v>30</v>
      </c>
      <c r="G334" s="3">
        <f t="shared" si="5"/>
        <v>0</v>
      </c>
    </row>
    <row r="335" spans="1:7">
      <c r="A335" s="2">
        <v>41114</v>
      </c>
      <c r="B335" s="1" t="s">
        <v>9</v>
      </c>
      <c r="G335" s="3">
        <f t="shared" si="5"/>
        <v>0</v>
      </c>
    </row>
    <row r="336" spans="1:7">
      <c r="A336" s="2">
        <v>41115</v>
      </c>
      <c r="B336" s="1" t="s">
        <v>10</v>
      </c>
      <c r="G336" s="3">
        <f t="shared" si="5"/>
        <v>0</v>
      </c>
    </row>
    <row r="337" spans="1:7">
      <c r="A337" s="2">
        <v>41116</v>
      </c>
      <c r="B337" s="1" t="s">
        <v>11</v>
      </c>
      <c r="G337" s="3">
        <f t="shared" si="5"/>
        <v>0</v>
      </c>
    </row>
    <row r="338" spans="1:7">
      <c r="A338" s="2">
        <v>41117</v>
      </c>
      <c r="B338" s="1" t="s">
        <v>12</v>
      </c>
      <c r="G338" s="3">
        <f t="shared" si="5"/>
        <v>0</v>
      </c>
    </row>
    <row r="339" spans="1:7">
      <c r="A339" s="2">
        <v>41118</v>
      </c>
      <c r="B339" s="1" t="s">
        <v>13</v>
      </c>
      <c r="G339" s="3">
        <f t="shared" si="5"/>
        <v>0</v>
      </c>
    </row>
    <row r="340" spans="1:7">
      <c r="A340" s="2">
        <v>41119</v>
      </c>
      <c r="B340" s="1" t="s">
        <v>14</v>
      </c>
      <c r="G340" s="3">
        <f t="shared" si="5"/>
        <v>0</v>
      </c>
    </row>
    <row r="341" spans="1:7">
      <c r="A341" s="2">
        <v>41120</v>
      </c>
      <c r="B341" s="1" t="s">
        <v>8</v>
      </c>
      <c r="C341" s="1">
        <v>31</v>
      </c>
      <c r="G341" s="3">
        <f t="shared" si="5"/>
        <v>0</v>
      </c>
    </row>
    <row r="342" spans="1:7">
      <c r="A342" s="2">
        <v>41121</v>
      </c>
      <c r="B342" s="1" t="s">
        <v>9</v>
      </c>
      <c r="G342" s="3">
        <f t="shared" si="5"/>
        <v>0</v>
      </c>
    </row>
    <row r="343" spans="1:7">
      <c r="A343" s="2">
        <v>41122</v>
      </c>
      <c r="B343" s="1" t="s">
        <v>10</v>
      </c>
      <c r="G343" s="3">
        <f t="shared" si="5"/>
        <v>0</v>
      </c>
    </row>
    <row r="344" spans="1:7">
      <c r="A344" s="2">
        <v>41123</v>
      </c>
      <c r="B344" s="1" t="s">
        <v>11</v>
      </c>
      <c r="G344" s="3">
        <f t="shared" si="5"/>
        <v>0</v>
      </c>
    </row>
    <row r="345" spans="1:7">
      <c r="A345" s="2">
        <v>41124</v>
      </c>
      <c r="B345" s="1" t="s">
        <v>12</v>
      </c>
      <c r="G345" s="3">
        <f t="shared" si="5"/>
        <v>0</v>
      </c>
    </row>
    <row r="346" spans="1:7">
      <c r="A346" s="2">
        <v>41125</v>
      </c>
      <c r="B346" s="1" t="s">
        <v>13</v>
      </c>
      <c r="G346" s="3">
        <f t="shared" si="5"/>
        <v>0</v>
      </c>
    </row>
    <row r="347" spans="1:7">
      <c r="A347" s="2">
        <v>41126</v>
      </c>
      <c r="B347" s="1" t="s">
        <v>14</v>
      </c>
      <c r="G347" s="3">
        <f t="shared" si="5"/>
        <v>0</v>
      </c>
    </row>
    <row r="348" spans="1:7">
      <c r="A348" s="2">
        <v>41127</v>
      </c>
      <c r="C348" s="1">
        <v>32</v>
      </c>
      <c r="G348" s="3">
        <f t="shared" si="5"/>
        <v>0</v>
      </c>
    </row>
    <row r="349" spans="1:7">
      <c r="A349" s="2">
        <v>41128</v>
      </c>
      <c r="G349" s="3">
        <f t="shared" si="5"/>
        <v>0</v>
      </c>
    </row>
    <row r="350" spans="1:7">
      <c r="A350" s="2">
        <v>41129</v>
      </c>
      <c r="G350" s="3">
        <f t="shared" si="5"/>
        <v>0</v>
      </c>
    </row>
    <row r="351" spans="1:7">
      <c r="A351" s="2">
        <v>41130</v>
      </c>
      <c r="G351" s="3">
        <f t="shared" si="5"/>
        <v>0</v>
      </c>
    </row>
    <row r="352" spans="1:7">
      <c r="A352" s="2">
        <v>41131</v>
      </c>
      <c r="G352" s="3">
        <f t="shared" si="5"/>
        <v>0</v>
      </c>
    </row>
    <row r="353" spans="1:7">
      <c r="A353" s="2">
        <v>41132</v>
      </c>
      <c r="G353" s="3">
        <f t="shared" si="5"/>
        <v>0</v>
      </c>
    </row>
    <row r="354" spans="1:7">
      <c r="A354" s="2">
        <v>41133</v>
      </c>
      <c r="G354" s="3">
        <f t="shared" si="5"/>
        <v>0</v>
      </c>
    </row>
    <row r="355" spans="1:7">
      <c r="A355" s="2">
        <v>41134</v>
      </c>
      <c r="C355" s="1">
        <v>33</v>
      </c>
      <c r="G355" s="3">
        <f t="shared" si="5"/>
        <v>0</v>
      </c>
    </row>
    <row r="356" spans="1:7">
      <c r="A356" s="2">
        <v>41135</v>
      </c>
      <c r="G356" s="3">
        <f t="shared" si="5"/>
        <v>0</v>
      </c>
    </row>
    <row r="357" spans="1:7">
      <c r="A357" s="2">
        <v>41136</v>
      </c>
      <c r="G357" s="3">
        <f t="shared" si="5"/>
        <v>0</v>
      </c>
    </row>
    <row r="358" spans="1:7">
      <c r="A358" s="2">
        <v>41137</v>
      </c>
      <c r="G358" s="3">
        <f t="shared" si="5"/>
        <v>0</v>
      </c>
    </row>
    <row r="359" spans="1:7">
      <c r="A359" s="2">
        <v>41138</v>
      </c>
      <c r="G359" s="3">
        <f t="shared" si="5"/>
        <v>0</v>
      </c>
    </row>
    <row r="360" spans="1:7">
      <c r="A360" s="2">
        <v>41139</v>
      </c>
      <c r="G360" s="3">
        <f t="shared" si="5"/>
        <v>0</v>
      </c>
    </row>
    <row r="361" spans="1:7">
      <c r="A361" s="2">
        <v>41140</v>
      </c>
      <c r="G361" s="3">
        <f t="shared" si="5"/>
        <v>0</v>
      </c>
    </row>
    <row r="362" spans="1:7">
      <c r="A362" s="2">
        <v>41141</v>
      </c>
      <c r="C362" s="1">
        <v>34</v>
      </c>
      <c r="G362" s="3">
        <f t="shared" si="5"/>
        <v>0</v>
      </c>
    </row>
    <row r="363" spans="1:7">
      <c r="A363" s="2">
        <v>41142</v>
      </c>
      <c r="G363" s="3">
        <f t="shared" si="5"/>
        <v>0</v>
      </c>
    </row>
    <row r="364" spans="1:7">
      <c r="A364" s="2">
        <v>41143</v>
      </c>
      <c r="G364" s="3">
        <f t="shared" si="5"/>
        <v>0</v>
      </c>
    </row>
    <row r="365" spans="1:7">
      <c r="A365" s="2">
        <v>41144</v>
      </c>
      <c r="G365" s="3">
        <f t="shared" si="5"/>
        <v>0</v>
      </c>
    </row>
    <row r="366" spans="1:7">
      <c r="A366" s="2">
        <v>41145</v>
      </c>
      <c r="G366" s="3">
        <f t="shared" si="5"/>
        <v>0</v>
      </c>
    </row>
    <row r="367" spans="1:7">
      <c r="A367" s="2">
        <v>41146</v>
      </c>
      <c r="G367" s="3">
        <f t="shared" si="5"/>
        <v>0</v>
      </c>
    </row>
    <row r="368" spans="1:7">
      <c r="A368" s="2">
        <v>41147</v>
      </c>
      <c r="G368" s="3">
        <f t="shared" si="5"/>
        <v>0</v>
      </c>
    </row>
    <row r="369" spans="1:7">
      <c r="A369" s="2">
        <v>41148</v>
      </c>
      <c r="C369" s="1">
        <v>35</v>
      </c>
      <c r="G369" s="3">
        <f t="shared" si="5"/>
        <v>0</v>
      </c>
    </row>
    <row r="370" spans="1:7">
      <c r="A370" s="2">
        <v>41149</v>
      </c>
      <c r="G370" s="3">
        <f t="shared" si="5"/>
        <v>0</v>
      </c>
    </row>
    <row r="371" spans="1:7">
      <c r="A371" s="2">
        <v>41150</v>
      </c>
      <c r="G371" s="3">
        <f t="shared" si="5"/>
        <v>0</v>
      </c>
    </row>
    <row r="372" spans="1:7">
      <c r="A372" s="2">
        <v>41151</v>
      </c>
      <c r="G372" s="3">
        <f t="shared" si="5"/>
        <v>0</v>
      </c>
    </row>
    <row r="373" spans="1:7">
      <c r="A373" s="2">
        <v>41152</v>
      </c>
      <c r="G373" s="3">
        <f t="shared" si="5"/>
        <v>0</v>
      </c>
    </row>
    <row r="374" spans="1:7">
      <c r="A374" s="2">
        <v>41153</v>
      </c>
      <c r="G374" s="3">
        <f t="shared" si="5"/>
        <v>0</v>
      </c>
    </row>
    <row r="375" spans="1:7">
      <c r="A375" s="2">
        <v>41154</v>
      </c>
      <c r="G375" s="3">
        <f t="shared" si="5"/>
        <v>0</v>
      </c>
    </row>
    <row r="376" spans="1:7">
      <c r="A376" s="2">
        <v>41155</v>
      </c>
      <c r="C376" s="1">
        <v>36</v>
      </c>
      <c r="G376" s="3">
        <f t="shared" si="5"/>
        <v>0</v>
      </c>
    </row>
    <row r="377" spans="1:7">
      <c r="A377" s="2">
        <v>41156</v>
      </c>
      <c r="G377" s="3">
        <f t="shared" si="5"/>
        <v>0</v>
      </c>
    </row>
    <row r="378" spans="1:7">
      <c r="A378" s="2">
        <v>41157</v>
      </c>
      <c r="G378" s="3">
        <f t="shared" si="5"/>
        <v>0</v>
      </c>
    </row>
    <row r="379" spans="1:7">
      <c r="A379" s="2">
        <v>41158</v>
      </c>
      <c r="G379" s="3">
        <f t="shared" si="5"/>
        <v>0</v>
      </c>
    </row>
    <row r="380" spans="1:7">
      <c r="A380" s="2">
        <v>41159</v>
      </c>
      <c r="G380" s="3">
        <f t="shared" si="5"/>
        <v>0</v>
      </c>
    </row>
    <row r="381" spans="1:7">
      <c r="A381" s="2">
        <v>41160</v>
      </c>
      <c r="G381" s="3">
        <f t="shared" si="5"/>
        <v>0</v>
      </c>
    </row>
    <row r="382" spans="1:7">
      <c r="A382" s="2">
        <v>41161</v>
      </c>
      <c r="G382" s="3">
        <f t="shared" si="5"/>
        <v>0</v>
      </c>
    </row>
    <row r="383" spans="1:7">
      <c r="A383" s="2">
        <v>41162</v>
      </c>
      <c r="C383" s="1">
        <v>37</v>
      </c>
      <c r="G383" s="3">
        <f t="shared" si="5"/>
        <v>0</v>
      </c>
    </row>
    <row r="384" spans="1:7">
      <c r="A384" s="2">
        <v>41163</v>
      </c>
      <c r="G384" s="3">
        <f t="shared" si="5"/>
        <v>0</v>
      </c>
    </row>
    <row r="385" spans="1:7">
      <c r="A385" s="2">
        <v>41164</v>
      </c>
      <c r="G385" s="3">
        <f t="shared" si="5"/>
        <v>0</v>
      </c>
    </row>
    <row r="386" spans="1:7">
      <c r="A386" s="2">
        <v>41165</v>
      </c>
      <c r="G386" s="3">
        <f t="shared" si="5"/>
        <v>0</v>
      </c>
    </row>
    <row r="387" spans="1:7">
      <c r="A387" s="2">
        <v>41166</v>
      </c>
      <c r="G387" s="3">
        <f t="shared" si="5"/>
        <v>0</v>
      </c>
    </row>
    <row r="388" spans="1:7">
      <c r="A388" s="2">
        <v>41167</v>
      </c>
      <c r="G388" s="3">
        <f t="shared" si="5"/>
        <v>0</v>
      </c>
    </row>
    <row r="389" spans="1:7">
      <c r="A389" s="2">
        <v>41168</v>
      </c>
      <c r="G389" s="3">
        <f t="shared" si="5"/>
        <v>0</v>
      </c>
    </row>
    <row r="390" spans="1:7">
      <c r="A390" s="2">
        <v>41169</v>
      </c>
      <c r="C390" s="1">
        <v>38</v>
      </c>
      <c r="G390" s="3">
        <f t="shared" si="5"/>
        <v>0</v>
      </c>
    </row>
    <row r="391" spans="1:7">
      <c r="A391" s="2">
        <v>41170</v>
      </c>
      <c r="G391" s="3">
        <f t="shared" ref="G391:G454" si="6">E391-D391-F391</f>
        <v>0</v>
      </c>
    </row>
    <row r="392" spans="1:7">
      <c r="A392" s="2">
        <v>41171</v>
      </c>
      <c r="G392" s="3">
        <f t="shared" si="6"/>
        <v>0</v>
      </c>
    </row>
    <row r="393" spans="1:7">
      <c r="A393" s="2">
        <v>41172</v>
      </c>
      <c r="G393" s="3">
        <f t="shared" si="6"/>
        <v>0</v>
      </c>
    </row>
    <row r="394" spans="1:7">
      <c r="A394" s="2">
        <v>41173</v>
      </c>
      <c r="G394" s="3">
        <f t="shared" si="6"/>
        <v>0</v>
      </c>
    </row>
    <row r="395" spans="1:7">
      <c r="A395" s="2">
        <v>41174</v>
      </c>
      <c r="G395" s="3">
        <f t="shared" si="6"/>
        <v>0</v>
      </c>
    </row>
    <row r="396" spans="1:7">
      <c r="A396" s="2">
        <v>41175</v>
      </c>
      <c r="G396" s="3">
        <f t="shared" si="6"/>
        <v>0</v>
      </c>
    </row>
    <row r="397" spans="1:7">
      <c r="A397" s="2">
        <v>41176</v>
      </c>
      <c r="C397" s="1">
        <v>39</v>
      </c>
      <c r="G397" s="3">
        <f t="shared" si="6"/>
        <v>0</v>
      </c>
    </row>
    <row r="398" spans="1:7">
      <c r="A398" s="2">
        <v>41177</v>
      </c>
      <c r="G398" s="3">
        <f t="shared" si="6"/>
        <v>0</v>
      </c>
    </row>
    <row r="399" spans="1:7">
      <c r="A399" s="2">
        <v>41178</v>
      </c>
      <c r="G399" s="3">
        <f t="shared" si="6"/>
        <v>0</v>
      </c>
    </row>
    <row r="400" spans="1:7">
      <c r="A400" s="2">
        <v>41179</v>
      </c>
      <c r="G400" s="3">
        <f t="shared" si="6"/>
        <v>0</v>
      </c>
    </row>
    <row r="401" spans="1:7">
      <c r="A401" s="2">
        <v>41180</v>
      </c>
      <c r="G401" s="3">
        <f t="shared" si="6"/>
        <v>0</v>
      </c>
    </row>
    <row r="402" spans="1:7">
      <c r="A402" s="2">
        <v>41181</v>
      </c>
      <c r="G402" s="3">
        <f t="shared" si="6"/>
        <v>0</v>
      </c>
    </row>
    <row r="403" spans="1:7">
      <c r="A403" s="2">
        <v>41182</v>
      </c>
      <c r="G403" s="3">
        <f t="shared" si="6"/>
        <v>0</v>
      </c>
    </row>
    <row r="404" spans="1:7">
      <c r="A404" s="2">
        <v>41183</v>
      </c>
      <c r="C404" s="1">
        <v>40</v>
      </c>
      <c r="G404" s="3">
        <f t="shared" si="6"/>
        <v>0</v>
      </c>
    </row>
    <row r="405" spans="1:7">
      <c r="A405" s="2">
        <v>41184</v>
      </c>
      <c r="G405" s="3">
        <f t="shared" si="6"/>
        <v>0</v>
      </c>
    </row>
    <row r="406" spans="1:7">
      <c r="A406" s="2">
        <v>41185</v>
      </c>
      <c r="G406" s="3">
        <f t="shared" si="6"/>
        <v>0</v>
      </c>
    </row>
    <row r="407" spans="1:7">
      <c r="A407" s="2">
        <v>41186</v>
      </c>
      <c r="G407" s="3">
        <f t="shared" si="6"/>
        <v>0</v>
      </c>
    </row>
    <row r="408" spans="1:7">
      <c r="A408" s="2">
        <v>41187</v>
      </c>
      <c r="G408" s="3">
        <f t="shared" si="6"/>
        <v>0</v>
      </c>
    </row>
    <row r="409" spans="1:7">
      <c r="A409" s="2">
        <v>41188</v>
      </c>
      <c r="G409" s="3">
        <f t="shared" si="6"/>
        <v>0</v>
      </c>
    </row>
    <row r="410" spans="1:7">
      <c r="A410" s="2">
        <v>41189</v>
      </c>
      <c r="G410" s="3">
        <f t="shared" si="6"/>
        <v>0</v>
      </c>
    </row>
    <row r="411" spans="1:7">
      <c r="A411" s="2">
        <v>41190</v>
      </c>
      <c r="C411" s="1">
        <v>41</v>
      </c>
      <c r="G411" s="3">
        <f t="shared" si="6"/>
        <v>0</v>
      </c>
    </row>
    <row r="412" spans="1:7">
      <c r="A412" s="2">
        <v>41191</v>
      </c>
      <c r="G412" s="3">
        <f t="shared" si="6"/>
        <v>0</v>
      </c>
    </row>
    <row r="413" spans="1:7">
      <c r="A413" s="2">
        <v>41192</v>
      </c>
      <c r="G413" s="3">
        <f t="shared" si="6"/>
        <v>0</v>
      </c>
    </row>
    <row r="414" spans="1:7">
      <c r="A414" s="2">
        <v>41193</v>
      </c>
      <c r="G414" s="3">
        <f t="shared" si="6"/>
        <v>0</v>
      </c>
    </row>
    <row r="415" spans="1:7">
      <c r="A415" s="2">
        <v>41194</v>
      </c>
      <c r="G415" s="3">
        <f t="shared" si="6"/>
        <v>0</v>
      </c>
    </row>
    <row r="416" spans="1:7">
      <c r="A416" s="2">
        <v>41195</v>
      </c>
      <c r="G416" s="3">
        <f t="shared" si="6"/>
        <v>0</v>
      </c>
    </row>
    <row r="417" spans="1:7">
      <c r="A417" s="2">
        <v>41196</v>
      </c>
      <c r="G417" s="3">
        <f t="shared" si="6"/>
        <v>0</v>
      </c>
    </row>
    <row r="418" spans="1:7">
      <c r="A418" s="2">
        <v>41197</v>
      </c>
      <c r="C418" s="1">
        <v>42</v>
      </c>
      <c r="G418" s="3">
        <f t="shared" si="6"/>
        <v>0</v>
      </c>
    </row>
    <row r="419" spans="1:7">
      <c r="A419" s="2">
        <v>41198</v>
      </c>
      <c r="G419" s="3">
        <f t="shared" si="6"/>
        <v>0</v>
      </c>
    </row>
    <row r="420" spans="1:7">
      <c r="A420" s="2">
        <v>41199</v>
      </c>
      <c r="G420" s="3">
        <f t="shared" si="6"/>
        <v>0</v>
      </c>
    </row>
    <row r="421" spans="1:7">
      <c r="A421" s="2">
        <v>41200</v>
      </c>
      <c r="G421" s="3">
        <f t="shared" si="6"/>
        <v>0</v>
      </c>
    </row>
    <row r="422" spans="1:7">
      <c r="A422" s="2">
        <v>41201</v>
      </c>
      <c r="G422" s="3">
        <f t="shared" si="6"/>
        <v>0</v>
      </c>
    </row>
    <row r="423" spans="1:7">
      <c r="A423" s="2">
        <v>41202</v>
      </c>
      <c r="G423" s="3">
        <f t="shared" si="6"/>
        <v>0</v>
      </c>
    </row>
    <row r="424" spans="1:7">
      <c r="A424" s="2">
        <v>41203</v>
      </c>
      <c r="G424" s="3">
        <f t="shared" si="6"/>
        <v>0</v>
      </c>
    </row>
    <row r="425" spans="1:7">
      <c r="A425" s="2">
        <v>41204</v>
      </c>
      <c r="C425" s="1">
        <v>43</v>
      </c>
      <c r="G425" s="3">
        <f t="shared" si="6"/>
        <v>0</v>
      </c>
    </row>
    <row r="426" spans="1:7">
      <c r="A426" s="2">
        <v>41205</v>
      </c>
      <c r="G426" s="3">
        <f t="shared" si="6"/>
        <v>0</v>
      </c>
    </row>
    <row r="427" spans="1:7">
      <c r="A427" s="2">
        <v>41206</v>
      </c>
      <c r="G427" s="3">
        <f t="shared" si="6"/>
        <v>0</v>
      </c>
    </row>
    <row r="428" spans="1:7">
      <c r="A428" s="2">
        <v>41207</v>
      </c>
      <c r="G428" s="3">
        <f t="shared" si="6"/>
        <v>0</v>
      </c>
    </row>
    <row r="429" spans="1:7">
      <c r="A429" s="2">
        <v>41208</v>
      </c>
      <c r="G429" s="3">
        <f t="shared" si="6"/>
        <v>0</v>
      </c>
    </row>
    <row r="430" spans="1:7">
      <c r="A430" s="2">
        <v>41209</v>
      </c>
      <c r="G430" s="3">
        <f t="shared" si="6"/>
        <v>0</v>
      </c>
    </row>
    <row r="431" spans="1:7">
      <c r="A431" s="2">
        <v>41210</v>
      </c>
      <c r="G431" s="3">
        <f t="shared" si="6"/>
        <v>0</v>
      </c>
    </row>
    <row r="432" spans="1:7">
      <c r="A432" s="2">
        <v>41211</v>
      </c>
      <c r="C432" s="1">
        <v>44</v>
      </c>
      <c r="G432" s="3">
        <f t="shared" si="6"/>
        <v>0</v>
      </c>
    </row>
    <row r="433" spans="1:7">
      <c r="A433" s="2">
        <v>41212</v>
      </c>
      <c r="G433" s="3">
        <f t="shared" si="6"/>
        <v>0</v>
      </c>
    </row>
    <row r="434" spans="1:7">
      <c r="A434" s="2">
        <v>41213</v>
      </c>
      <c r="G434" s="3">
        <f t="shared" si="6"/>
        <v>0</v>
      </c>
    </row>
    <row r="435" spans="1:7">
      <c r="A435" s="2">
        <v>41214</v>
      </c>
      <c r="G435" s="3">
        <f t="shared" si="6"/>
        <v>0</v>
      </c>
    </row>
    <row r="436" spans="1:7">
      <c r="A436" s="2">
        <v>41215</v>
      </c>
      <c r="G436" s="3">
        <f t="shared" si="6"/>
        <v>0</v>
      </c>
    </row>
    <row r="437" spans="1:7">
      <c r="A437" s="2">
        <v>41216</v>
      </c>
      <c r="G437" s="3">
        <f t="shared" si="6"/>
        <v>0</v>
      </c>
    </row>
    <row r="438" spans="1:7">
      <c r="A438" s="2">
        <v>41217</v>
      </c>
      <c r="G438" s="3">
        <f t="shared" si="6"/>
        <v>0</v>
      </c>
    </row>
    <row r="439" spans="1:7">
      <c r="A439" s="2">
        <v>41218</v>
      </c>
      <c r="C439" s="1">
        <v>45</v>
      </c>
      <c r="G439" s="3">
        <f t="shared" si="6"/>
        <v>0</v>
      </c>
    </row>
    <row r="440" spans="1:7">
      <c r="A440" s="2">
        <v>41219</v>
      </c>
      <c r="G440" s="3">
        <f t="shared" si="6"/>
        <v>0</v>
      </c>
    </row>
    <row r="441" spans="1:7">
      <c r="A441" s="2">
        <v>41220</v>
      </c>
      <c r="G441" s="3">
        <f t="shared" si="6"/>
        <v>0</v>
      </c>
    </row>
    <row r="442" spans="1:7">
      <c r="A442" s="2">
        <v>41221</v>
      </c>
      <c r="G442" s="3">
        <f t="shared" si="6"/>
        <v>0</v>
      </c>
    </row>
    <row r="443" spans="1:7">
      <c r="A443" s="2">
        <v>41222</v>
      </c>
      <c r="G443" s="3">
        <f t="shared" si="6"/>
        <v>0</v>
      </c>
    </row>
    <row r="444" spans="1:7">
      <c r="A444" s="2">
        <v>41223</v>
      </c>
      <c r="G444" s="3">
        <f t="shared" si="6"/>
        <v>0</v>
      </c>
    </row>
    <row r="445" spans="1:7">
      <c r="A445" s="2">
        <v>41224</v>
      </c>
      <c r="G445" s="3">
        <f t="shared" si="6"/>
        <v>0</v>
      </c>
    </row>
    <row r="446" spans="1:7">
      <c r="A446" s="2">
        <v>41225</v>
      </c>
      <c r="C446" s="1">
        <v>46</v>
      </c>
      <c r="G446" s="3">
        <f t="shared" si="6"/>
        <v>0</v>
      </c>
    </row>
    <row r="447" spans="1:7">
      <c r="A447" s="2">
        <v>41226</v>
      </c>
      <c r="G447" s="3">
        <f t="shared" si="6"/>
        <v>0</v>
      </c>
    </row>
    <row r="448" spans="1:7">
      <c r="A448" s="2">
        <v>41227</v>
      </c>
      <c r="G448" s="3">
        <f t="shared" si="6"/>
        <v>0</v>
      </c>
    </row>
    <row r="449" spans="1:7">
      <c r="A449" s="2">
        <v>41228</v>
      </c>
      <c r="G449" s="3">
        <f t="shared" si="6"/>
        <v>0</v>
      </c>
    </row>
    <row r="450" spans="1:7">
      <c r="A450" s="2">
        <v>41229</v>
      </c>
      <c r="G450" s="3">
        <f t="shared" si="6"/>
        <v>0</v>
      </c>
    </row>
    <row r="451" spans="1:7">
      <c r="A451" s="2">
        <v>41230</v>
      </c>
      <c r="G451" s="3">
        <f t="shared" si="6"/>
        <v>0</v>
      </c>
    </row>
    <row r="452" spans="1:7">
      <c r="A452" s="2">
        <v>41231</v>
      </c>
      <c r="G452" s="3">
        <f t="shared" si="6"/>
        <v>0</v>
      </c>
    </row>
    <row r="453" spans="1:7">
      <c r="A453" s="2">
        <v>41232</v>
      </c>
      <c r="C453" s="1">
        <v>47</v>
      </c>
      <c r="G453" s="3">
        <f t="shared" si="6"/>
        <v>0</v>
      </c>
    </row>
    <row r="454" spans="1:7">
      <c r="A454" s="2">
        <v>41233</v>
      </c>
      <c r="G454" s="3">
        <f t="shared" si="6"/>
        <v>0</v>
      </c>
    </row>
    <row r="455" spans="1:7">
      <c r="A455" s="2">
        <v>41234</v>
      </c>
      <c r="G455" s="3">
        <f t="shared" ref="G455:G495" si="7">E455-D455-F455</f>
        <v>0</v>
      </c>
    </row>
    <row r="456" spans="1:7">
      <c r="A456" s="2">
        <v>41235</v>
      </c>
      <c r="G456" s="3">
        <f t="shared" si="7"/>
        <v>0</v>
      </c>
    </row>
    <row r="457" spans="1:7">
      <c r="A457" s="2">
        <v>41236</v>
      </c>
      <c r="G457" s="3">
        <f t="shared" si="7"/>
        <v>0</v>
      </c>
    </row>
    <row r="458" spans="1:7">
      <c r="A458" s="2">
        <v>41237</v>
      </c>
      <c r="G458" s="3">
        <f t="shared" si="7"/>
        <v>0</v>
      </c>
    </row>
    <row r="459" spans="1:7">
      <c r="A459" s="2">
        <v>41238</v>
      </c>
      <c r="G459" s="3">
        <f t="shared" si="7"/>
        <v>0</v>
      </c>
    </row>
    <row r="460" spans="1:7">
      <c r="A460" s="2">
        <v>41239</v>
      </c>
      <c r="C460" s="1">
        <v>48</v>
      </c>
      <c r="G460" s="3">
        <f t="shared" si="7"/>
        <v>0</v>
      </c>
    </row>
    <row r="461" spans="1:7">
      <c r="A461" s="2">
        <v>41240</v>
      </c>
      <c r="G461" s="3">
        <f t="shared" si="7"/>
        <v>0</v>
      </c>
    </row>
    <row r="462" spans="1:7">
      <c r="A462" s="2">
        <v>41241</v>
      </c>
      <c r="G462" s="3">
        <f t="shared" si="7"/>
        <v>0</v>
      </c>
    </row>
    <row r="463" spans="1:7">
      <c r="A463" s="2">
        <v>41242</v>
      </c>
      <c r="G463" s="3">
        <f t="shared" si="7"/>
        <v>0</v>
      </c>
    </row>
    <row r="464" spans="1:7">
      <c r="A464" s="2">
        <v>41243</v>
      </c>
      <c r="G464" s="3">
        <f t="shared" si="7"/>
        <v>0</v>
      </c>
    </row>
    <row r="465" spans="1:7">
      <c r="A465" s="2">
        <v>41244</v>
      </c>
      <c r="G465" s="3">
        <f t="shared" si="7"/>
        <v>0</v>
      </c>
    </row>
    <row r="466" spans="1:7">
      <c r="A466" s="2">
        <v>41245</v>
      </c>
      <c r="G466" s="3">
        <f t="shared" si="7"/>
        <v>0</v>
      </c>
    </row>
    <row r="467" spans="1:7">
      <c r="A467" s="2">
        <v>41246</v>
      </c>
      <c r="C467" s="1">
        <v>49</v>
      </c>
      <c r="G467" s="3">
        <f t="shared" si="7"/>
        <v>0</v>
      </c>
    </row>
    <row r="468" spans="1:7">
      <c r="A468" s="2">
        <v>41247</v>
      </c>
      <c r="G468" s="3">
        <f t="shared" si="7"/>
        <v>0</v>
      </c>
    </row>
    <row r="469" spans="1:7">
      <c r="A469" s="2">
        <v>41248</v>
      </c>
      <c r="G469" s="3">
        <f t="shared" si="7"/>
        <v>0</v>
      </c>
    </row>
    <row r="470" spans="1:7">
      <c r="A470" s="2">
        <v>41249</v>
      </c>
      <c r="G470" s="3">
        <f t="shared" si="7"/>
        <v>0</v>
      </c>
    </row>
    <row r="471" spans="1:7">
      <c r="A471" s="2">
        <v>41250</v>
      </c>
      <c r="G471" s="3">
        <f t="shared" si="7"/>
        <v>0</v>
      </c>
    </row>
    <row r="472" spans="1:7">
      <c r="A472" s="2">
        <v>41251</v>
      </c>
      <c r="G472" s="3">
        <f t="shared" si="7"/>
        <v>0</v>
      </c>
    </row>
    <row r="473" spans="1:7">
      <c r="A473" s="2">
        <v>41252</v>
      </c>
      <c r="G473" s="3">
        <f t="shared" si="7"/>
        <v>0</v>
      </c>
    </row>
    <row r="474" spans="1:7">
      <c r="A474" s="2">
        <v>41253</v>
      </c>
      <c r="C474" s="1">
        <v>50</v>
      </c>
      <c r="G474" s="3">
        <f t="shared" si="7"/>
        <v>0</v>
      </c>
    </row>
    <row r="475" spans="1:7">
      <c r="A475" s="2">
        <v>41254</v>
      </c>
      <c r="G475" s="3">
        <f t="shared" si="7"/>
        <v>0</v>
      </c>
    </row>
    <row r="476" spans="1:7">
      <c r="A476" s="2">
        <v>41255</v>
      </c>
      <c r="G476" s="3">
        <f t="shared" si="7"/>
        <v>0</v>
      </c>
    </row>
    <row r="477" spans="1:7">
      <c r="A477" s="2">
        <v>41256</v>
      </c>
      <c r="G477" s="3">
        <f t="shared" si="7"/>
        <v>0</v>
      </c>
    </row>
    <row r="478" spans="1:7">
      <c r="A478" s="2">
        <v>41257</v>
      </c>
      <c r="G478" s="3">
        <f t="shared" si="7"/>
        <v>0</v>
      </c>
    </row>
    <row r="479" spans="1:7">
      <c r="A479" s="2">
        <v>41258</v>
      </c>
      <c r="G479" s="3">
        <f t="shared" si="7"/>
        <v>0</v>
      </c>
    </row>
    <row r="480" spans="1:7">
      <c r="A480" s="2">
        <v>41259</v>
      </c>
      <c r="G480" s="3">
        <f t="shared" si="7"/>
        <v>0</v>
      </c>
    </row>
    <row r="481" spans="1:7">
      <c r="A481" s="2">
        <v>41260</v>
      </c>
      <c r="C481" s="1">
        <v>51</v>
      </c>
      <c r="G481" s="3">
        <f t="shared" si="7"/>
        <v>0</v>
      </c>
    </row>
    <row r="482" spans="1:7">
      <c r="A482" s="2">
        <v>41261</v>
      </c>
      <c r="G482" s="3">
        <f t="shared" si="7"/>
        <v>0</v>
      </c>
    </row>
    <row r="483" spans="1:7">
      <c r="A483" s="2">
        <v>41262</v>
      </c>
      <c r="G483" s="3">
        <f t="shared" si="7"/>
        <v>0</v>
      </c>
    </row>
    <row r="484" spans="1:7">
      <c r="A484" s="2">
        <v>41263</v>
      </c>
      <c r="G484" s="3">
        <f t="shared" si="7"/>
        <v>0</v>
      </c>
    </row>
    <row r="485" spans="1:7">
      <c r="A485" s="2">
        <v>41264</v>
      </c>
      <c r="G485" s="3">
        <f t="shared" si="7"/>
        <v>0</v>
      </c>
    </row>
    <row r="486" spans="1:7">
      <c r="A486" s="2">
        <v>41265</v>
      </c>
      <c r="G486" s="3">
        <f t="shared" si="7"/>
        <v>0</v>
      </c>
    </row>
    <row r="487" spans="1:7">
      <c r="A487" s="2">
        <v>41266</v>
      </c>
      <c r="G487" s="3">
        <f t="shared" si="7"/>
        <v>0</v>
      </c>
    </row>
    <row r="488" spans="1:7">
      <c r="A488" s="2">
        <v>41267</v>
      </c>
      <c r="C488" s="1">
        <v>52</v>
      </c>
      <c r="G488" s="3">
        <f t="shared" si="7"/>
        <v>0</v>
      </c>
    </row>
    <row r="489" spans="1:7">
      <c r="A489" s="2">
        <v>41268</v>
      </c>
      <c r="G489" s="3">
        <f t="shared" si="7"/>
        <v>0</v>
      </c>
    </row>
    <row r="490" spans="1:7">
      <c r="A490" s="2">
        <v>41269</v>
      </c>
      <c r="G490" s="3">
        <f t="shared" si="7"/>
        <v>0</v>
      </c>
    </row>
    <row r="491" spans="1:7">
      <c r="A491" s="2">
        <v>41270</v>
      </c>
      <c r="G491" s="3">
        <f t="shared" si="7"/>
        <v>0</v>
      </c>
    </row>
    <row r="492" spans="1:7">
      <c r="A492" s="2">
        <v>41271</v>
      </c>
      <c r="G492" s="3">
        <f t="shared" si="7"/>
        <v>0</v>
      </c>
    </row>
    <row r="493" spans="1:7">
      <c r="A493" s="2">
        <v>41272</v>
      </c>
      <c r="G493" s="3">
        <f t="shared" si="7"/>
        <v>0</v>
      </c>
    </row>
    <row r="494" spans="1:7">
      <c r="A494" s="2">
        <v>41273</v>
      </c>
      <c r="G494" s="3">
        <f t="shared" si="7"/>
        <v>0</v>
      </c>
    </row>
    <row r="495" spans="1:7">
      <c r="A495" s="2">
        <v>41274</v>
      </c>
      <c r="C495" s="1">
        <v>53</v>
      </c>
      <c r="G495" s="3">
        <f t="shared" si="7"/>
        <v>0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Syngenta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Syngenta</dc:creator>
  <cp:lastModifiedBy>Syngenta</cp:lastModifiedBy>
  <dcterms:created xsi:type="dcterms:W3CDTF">2011-09-08T05:18:46Z</dcterms:created>
  <dcterms:modified xsi:type="dcterms:W3CDTF">2012-03-21T17:45:36Z</dcterms:modified>
</cp:coreProperties>
</file>