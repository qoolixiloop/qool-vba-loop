
<file path=[Content_Types].xml><?xml version="1.0" encoding="utf-8"?>
<Types xmlns="http://schemas.openxmlformats.org/package/2006/content-types"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840" yWindow="300" windowWidth="12615" windowHeight="7635" activeTab="4"/>
  </bookViews>
  <sheets>
    <sheet name="Source" sheetId="1" r:id="rId1"/>
    <sheet name="Bin" sheetId="3" r:id="rId2"/>
    <sheet name="Count" sheetId="7" r:id="rId3"/>
    <sheet name="Graph" sheetId="8" r:id="rId4"/>
    <sheet name="Pivot" sheetId="5" r:id="rId5"/>
  </sheets>
  <calcPr calcId="124519"/>
  <pivotCaches>
    <pivotCache cacheId="6" r:id="rId6"/>
    <pivotCache cacheId="1" r:id="rId7"/>
  </pivotCaches>
</workbook>
</file>

<file path=xl/calcChain.xml><?xml version="1.0" encoding="utf-8"?>
<calcChain xmlns="http://schemas.openxmlformats.org/spreadsheetml/2006/main">
  <c r="J19" i="7"/>
  <c r="J18"/>
  <c r="J17"/>
  <c r="J16"/>
  <c r="J15"/>
  <c r="I19"/>
  <c r="I18"/>
  <c r="I17"/>
  <c r="I16"/>
  <c r="I15"/>
  <c r="H19"/>
  <c r="H18"/>
  <c r="H17"/>
  <c r="H16"/>
  <c r="H15"/>
  <c r="G19"/>
  <c r="G18"/>
  <c r="G17"/>
  <c r="G16"/>
  <c r="G15"/>
  <c r="F19"/>
  <c r="F18"/>
  <c r="F17"/>
  <c r="F16"/>
  <c r="F15"/>
  <c r="E19"/>
  <c r="E18"/>
  <c r="E17"/>
  <c r="E16"/>
  <c r="E15"/>
  <c r="D19"/>
  <c r="D18"/>
  <c r="D17"/>
  <c r="D16"/>
  <c r="D15"/>
  <c r="C19"/>
  <c r="C18"/>
  <c r="C17"/>
  <c r="C16"/>
  <c r="C15"/>
  <c r="J13"/>
  <c r="J12"/>
  <c r="J11"/>
  <c r="J10"/>
  <c r="J9"/>
  <c r="I13"/>
  <c r="I12"/>
  <c r="I11"/>
  <c r="I10"/>
  <c r="I9"/>
  <c r="H13"/>
  <c r="H12"/>
  <c r="H11"/>
  <c r="H10"/>
  <c r="H9"/>
  <c r="G13"/>
  <c r="G12"/>
  <c r="G11"/>
  <c r="G10"/>
  <c r="G9"/>
  <c r="F13"/>
  <c r="F12"/>
  <c r="F11"/>
  <c r="F10"/>
  <c r="F9"/>
  <c r="E13"/>
  <c r="E12"/>
  <c r="E11"/>
  <c r="E10"/>
  <c r="E9"/>
  <c r="D13"/>
  <c r="D12"/>
  <c r="D11"/>
  <c r="D10"/>
  <c r="D9"/>
  <c r="C13"/>
  <c r="C12"/>
  <c r="C11"/>
  <c r="C10"/>
  <c r="C9"/>
  <c r="J37"/>
  <c r="I37"/>
  <c r="H37"/>
  <c r="G37"/>
  <c r="F37"/>
  <c r="E37"/>
  <c r="D37"/>
  <c r="C37"/>
  <c r="K37" s="1"/>
  <c r="J36"/>
  <c r="I36"/>
  <c r="H36"/>
  <c r="G36"/>
  <c r="F36"/>
  <c r="E36"/>
  <c r="D36"/>
  <c r="C36"/>
  <c r="K36" s="1"/>
  <c r="J35"/>
  <c r="I35"/>
  <c r="H35"/>
  <c r="G35"/>
  <c r="F35"/>
  <c r="E35"/>
  <c r="D35"/>
  <c r="C35"/>
  <c r="K35" s="1"/>
  <c r="J34"/>
  <c r="I34"/>
  <c r="H34"/>
  <c r="G34"/>
  <c r="F34"/>
  <c r="E34"/>
  <c r="D34"/>
  <c r="C34"/>
  <c r="K34" s="1"/>
  <c r="J33"/>
  <c r="J38" s="1"/>
  <c r="I33"/>
  <c r="I38" s="1"/>
  <c r="H33"/>
  <c r="H38" s="1"/>
  <c r="G33"/>
  <c r="G38" s="1"/>
  <c r="F33"/>
  <c r="F38" s="1"/>
  <c r="E33"/>
  <c r="E38" s="1"/>
  <c r="D33"/>
  <c r="D38" s="1"/>
  <c r="C33"/>
  <c r="C38" s="1"/>
  <c r="K38" s="1"/>
  <c r="J31"/>
  <c r="I31"/>
  <c r="H31"/>
  <c r="G31"/>
  <c r="F31"/>
  <c r="E31"/>
  <c r="D31"/>
  <c r="C31"/>
  <c r="K31" s="1"/>
  <c r="J30"/>
  <c r="I30"/>
  <c r="H30"/>
  <c r="G30"/>
  <c r="F30"/>
  <c r="E30"/>
  <c r="D30"/>
  <c r="C30"/>
  <c r="K30" s="1"/>
  <c r="J29"/>
  <c r="I29"/>
  <c r="H29"/>
  <c r="G29"/>
  <c r="F29"/>
  <c r="E29"/>
  <c r="D29"/>
  <c r="C29"/>
  <c r="K29" s="1"/>
  <c r="J28"/>
  <c r="I28"/>
  <c r="H28"/>
  <c r="G28"/>
  <c r="F28"/>
  <c r="E28"/>
  <c r="D28"/>
  <c r="C28"/>
  <c r="K28" s="1"/>
  <c r="J27"/>
  <c r="J32" s="1"/>
  <c r="I27"/>
  <c r="I32" s="1"/>
  <c r="H27"/>
  <c r="H32" s="1"/>
  <c r="G27"/>
  <c r="G32" s="1"/>
  <c r="F27"/>
  <c r="F32" s="1"/>
  <c r="E27"/>
  <c r="E32" s="1"/>
  <c r="D27"/>
  <c r="D32" s="1"/>
  <c r="C27"/>
  <c r="C32" s="1"/>
  <c r="K32" s="1"/>
  <c r="J25"/>
  <c r="I25"/>
  <c r="H25"/>
  <c r="G25"/>
  <c r="F25"/>
  <c r="E25"/>
  <c r="D25"/>
  <c r="C25"/>
  <c r="K25" s="1"/>
  <c r="J24"/>
  <c r="I24"/>
  <c r="H24"/>
  <c r="G24"/>
  <c r="F24"/>
  <c r="E24"/>
  <c r="D24"/>
  <c r="C24"/>
  <c r="K24" s="1"/>
  <c r="J23"/>
  <c r="I23"/>
  <c r="H23"/>
  <c r="G23"/>
  <c r="F23"/>
  <c r="E23"/>
  <c r="D23"/>
  <c r="C23"/>
  <c r="K23" s="1"/>
  <c r="J22"/>
  <c r="I22"/>
  <c r="H22"/>
  <c r="G22"/>
  <c r="F22"/>
  <c r="E22"/>
  <c r="D22"/>
  <c r="C22"/>
  <c r="K22" s="1"/>
  <c r="J21"/>
  <c r="J26" s="1"/>
  <c r="I21"/>
  <c r="I26" s="1"/>
  <c r="H21"/>
  <c r="H26" s="1"/>
  <c r="G21"/>
  <c r="G26" s="1"/>
  <c r="F21"/>
  <c r="F26" s="1"/>
  <c r="E21"/>
  <c r="E26" s="1"/>
  <c r="D21"/>
  <c r="D26" s="1"/>
  <c r="C21"/>
  <c r="C26" s="1"/>
  <c r="K26" s="1"/>
  <c r="K19"/>
  <c r="K18"/>
  <c r="K17"/>
  <c r="K16"/>
  <c r="J20"/>
  <c r="I20"/>
  <c r="H20"/>
  <c r="G20"/>
  <c r="F20"/>
  <c r="E20"/>
  <c r="D20"/>
  <c r="C20"/>
  <c r="K20" s="1"/>
  <c r="K13"/>
  <c r="K12"/>
  <c r="K11"/>
  <c r="K10"/>
  <c r="J14"/>
  <c r="I14"/>
  <c r="H14"/>
  <c r="G14"/>
  <c r="F14"/>
  <c r="E14"/>
  <c r="D14"/>
  <c r="C14"/>
  <c r="K14" s="1"/>
  <c r="N22" i="3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2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D14"/>
  <c r="D15"/>
  <c r="D16"/>
  <c r="D17"/>
  <c r="D18"/>
  <c r="D19"/>
  <c r="D20"/>
  <c r="D21"/>
  <c r="D22"/>
  <c r="D2"/>
  <c r="D3"/>
  <c r="D4"/>
  <c r="D5"/>
  <c r="D6"/>
  <c r="D7"/>
  <c r="D8"/>
  <c r="D9"/>
  <c r="D10"/>
  <c r="D11"/>
  <c r="D12"/>
  <c r="J7" i="7"/>
  <c r="J6"/>
  <c r="J5"/>
  <c r="J3"/>
  <c r="J4"/>
  <c r="D13" i="3"/>
  <c r="C7" i="7"/>
  <c r="C6"/>
  <c r="C5"/>
  <c r="C4"/>
  <c r="C3"/>
  <c r="C8"/>
  <c r="I7"/>
  <c r="H7"/>
  <c r="G7"/>
  <c r="F7"/>
  <c r="E7"/>
  <c r="D7"/>
  <c r="K7" s="1"/>
  <c r="I6"/>
  <c r="H6"/>
  <c r="G6"/>
  <c r="F6"/>
  <c r="E6"/>
  <c r="D6"/>
  <c r="K6" s="1"/>
  <c r="J8"/>
  <c r="I5"/>
  <c r="H5"/>
  <c r="G5"/>
  <c r="F5"/>
  <c r="E5"/>
  <c r="D5"/>
  <c r="K5" s="1"/>
  <c r="I4"/>
  <c r="H4"/>
  <c r="G4"/>
  <c r="F4"/>
  <c r="E4"/>
  <c r="D4"/>
  <c r="K4" s="1"/>
  <c r="I3"/>
  <c r="I8" s="1"/>
  <c r="H3"/>
  <c r="H8" s="1"/>
  <c r="G3"/>
  <c r="G8" s="1"/>
  <c r="F3"/>
  <c r="F8" s="1"/>
  <c r="E3"/>
  <c r="E8" s="1"/>
  <c r="D3"/>
  <c r="K3" s="1"/>
  <c r="H23" i="1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3"/>
  <c r="C2" i="3"/>
  <c r="C3"/>
  <c r="C4"/>
  <c r="C5"/>
  <c r="E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C6"/>
  <c r="C7"/>
  <c r="C8"/>
  <c r="C9"/>
  <c r="C10"/>
  <c r="C11"/>
  <c r="C12"/>
  <c r="C13"/>
  <c r="C14"/>
  <c r="C15"/>
  <c r="C16"/>
  <c r="C17"/>
  <c r="C18"/>
  <c r="C19"/>
  <c r="C20"/>
  <c r="C21"/>
  <c r="C22"/>
  <c r="K33" i="7" l="1"/>
  <c r="K27"/>
  <c r="K21"/>
  <c r="K15"/>
  <c r="K9"/>
  <c r="D8"/>
  <c r="K8" s="1"/>
</calcChain>
</file>

<file path=xl/sharedStrings.xml><?xml version="1.0" encoding="utf-8"?>
<sst xmlns="http://schemas.openxmlformats.org/spreadsheetml/2006/main" count="255" uniqueCount="96">
  <si>
    <t>A</t>
  </si>
  <si>
    <t>Pi0001020</t>
  </si>
  <si>
    <t>P</t>
  </si>
  <si>
    <t>Pi0001019</t>
  </si>
  <si>
    <t>T</t>
  </si>
  <si>
    <t>Pi0001018</t>
  </si>
  <si>
    <t>Pi0001017</t>
  </si>
  <si>
    <t>E</t>
  </si>
  <si>
    <t>Pi0001016</t>
  </si>
  <si>
    <t>Pi0001015</t>
  </si>
  <si>
    <t>Pi0001014</t>
  </si>
  <si>
    <t>Pi0001013</t>
  </si>
  <si>
    <t>C</t>
  </si>
  <si>
    <t>Pi0001012</t>
  </si>
  <si>
    <t>Pi0001011</t>
  </si>
  <si>
    <t>Pi0001010</t>
  </si>
  <si>
    <t>Pi0001009</t>
  </si>
  <si>
    <t>Pi0001008</t>
  </si>
  <si>
    <t>Pi0001007</t>
  </si>
  <si>
    <t>Pi0001006</t>
  </si>
  <si>
    <t>Pi0001005</t>
  </si>
  <si>
    <t>Pi0001004</t>
  </si>
  <si>
    <t>Pi0001003</t>
  </si>
  <si>
    <t>Pi0001002</t>
  </si>
  <si>
    <t>Pi0001001</t>
  </si>
  <si>
    <t>Pi0001000</t>
  </si>
  <si>
    <t>EACFullCostTotal</t>
  </si>
  <si>
    <t>EACFullCost2014</t>
  </si>
  <si>
    <t>EACFullCost2013</t>
  </si>
  <si>
    <t>EACFullCost2012</t>
  </si>
  <si>
    <t>EACFullCost2011</t>
  </si>
  <si>
    <t>EACFullCost2010</t>
  </si>
  <si>
    <t>PiStatus</t>
  </si>
  <si>
    <t>PiIdentifier</t>
  </si>
  <si>
    <t>Bin2010</t>
  </si>
  <si>
    <t>Gesamtergebnis</t>
  </si>
  <si>
    <t>zero</t>
  </si>
  <si>
    <t>Anzahl von Bin2010</t>
  </si>
  <si>
    <t>Bin2011</t>
  </si>
  <si>
    <t>Bin2012</t>
  </si>
  <si>
    <t>Anzahl von Bin2011</t>
  </si>
  <si>
    <t>Anzahl von Bin2012</t>
  </si>
  <si>
    <t>Total 2010</t>
  </si>
  <si>
    <t>E 2010</t>
  </si>
  <si>
    <t>P 2010</t>
  </si>
  <si>
    <t>A 2010</t>
  </si>
  <si>
    <t>T 2010</t>
  </si>
  <si>
    <t>C 2010</t>
  </si>
  <si>
    <t>E 2011</t>
  </si>
  <si>
    <t>P 2011</t>
  </si>
  <si>
    <t>A 2011</t>
  </si>
  <si>
    <t>T 2011</t>
  </si>
  <si>
    <t>C 2011</t>
  </si>
  <si>
    <t>Total 2011</t>
  </si>
  <si>
    <t>negative</t>
  </si>
  <si>
    <t>1-1000</t>
  </si>
  <si>
    <t>E 2012</t>
  </si>
  <si>
    <t>P 2012</t>
  </si>
  <si>
    <t>A 2012</t>
  </si>
  <si>
    <t>T 2012</t>
  </si>
  <si>
    <t>C 2012</t>
  </si>
  <si>
    <t>Total 2012</t>
  </si>
  <si>
    <t>E 2013</t>
  </si>
  <si>
    <t>P 2013</t>
  </si>
  <si>
    <t>A 2013</t>
  </si>
  <si>
    <t>T 2013</t>
  </si>
  <si>
    <t>C 2013</t>
  </si>
  <si>
    <t>Total 2013</t>
  </si>
  <si>
    <t>E 2014</t>
  </si>
  <si>
    <t>P 2014</t>
  </si>
  <si>
    <t>A 2014</t>
  </si>
  <si>
    <t>T 2014</t>
  </si>
  <si>
    <t>C 2014</t>
  </si>
  <si>
    <t>Total 2014</t>
  </si>
  <si>
    <t>E Full</t>
  </si>
  <si>
    <t>P Full</t>
  </si>
  <si>
    <t>A Full</t>
  </si>
  <si>
    <t>T Full</t>
  </si>
  <si>
    <t>C Full</t>
  </si>
  <si>
    <t>BinFull</t>
  </si>
  <si>
    <t>Bin2014</t>
  </si>
  <si>
    <t>Bin2013</t>
  </si>
  <si>
    <t>10'001-100'000</t>
  </si>
  <si>
    <t>100'001-1'000'000</t>
  </si>
  <si>
    <t>1'001-10'000</t>
  </si>
  <si>
    <t>&gt;10'000'000</t>
  </si>
  <si>
    <t>1'000'001-10'000'000</t>
  </si>
  <si>
    <t>Anzahl von Bin2013</t>
  </si>
  <si>
    <t>Anzahl von Bin2014</t>
  </si>
  <si>
    <t>Anzahl von BinFull</t>
  </si>
  <si>
    <t>Total Full</t>
  </si>
  <si>
    <t>Total</t>
  </si>
  <si>
    <t>BIS HIER OK</t>
  </si>
  <si>
    <t>D ERSETZEN MIT J</t>
  </si>
  <si>
    <t>D ERSETZEN MIT L</t>
  </si>
  <si>
    <t>D ERSETZEN MIT 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</si>
</sst>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3" fontId="0" fillId="2" borderId="0" xfId="0" applyNumberFormat="1" applyFill="1" applyAlignment="1">
      <alignment horizontal="center"/>
    </xf>
    <xf numFmtId="3" fontId="0" fillId="0" borderId="0" xfId="0" applyNumberFormat="1" applyFill="1" applyAlignment="1">
      <alignment horizontal="center"/>
    </xf>
  </cellXfs>
  <cellStyles count="1">
    <cellStyle name="Standard" xfId="0" builtinId="0"/>
  </cellStyles>
  <dxfs count="6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chart>
    <c:title>
      <c:layout/>
    </c:title>
    <c:plotArea>
      <c:layout>
        <c:manualLayout>
          <c:layoutTarget val="inner"/>
          <c:xMode val="edge"/>
          <c:yMode val="edge"/>
          <c:x val="3.3015873015873047E-2"/>
          <c:y val="0.18926797964435385"/>
          <c:w val="0.94412698412698381"/>
          <c:h val="0.6389770838547385"/>
        </c:manualLayout>
      </c:layout>
      <c:barChart>
        <c:barDir val="col"/>
        <c:grouping val="stacked"/>
        <c:ser>
          <c:idx val="0"/>
          <c:order val="0"/>
          <c:tx>
            <c:strRef>
              <c:f>Count!$C$1:$C$2</c:f>
              <c:strCache>
                <c:ptCount val="1"/>
                <c:pt idx="0">
                  <c:v>negative</c:v>
                </c:pt>
              </c:strCache>
            </c:strRef>
          </c:tx>
          <c:dLbls>
            <c:showVal val="1"/>
          </c:dLbls>
          <c:cat>
            <c:strRef>
              <c:f>Count!$B$3:$B$38</c:f>
              <c:strCache>
                <c:ptCount val="36"/>
                <c:pt idx="0">
                  <c:v>E 2010</c:v>
                </c:pt>
                <c:pt idx="1">
                  <c:v>P 2010</c:v>
                </c:pt>
                <c:pt idx="2">
                  <c:v>A 2010</c:v>
                </c:pt>
                <c:pt idx="3">
                  <c:v>T 2010</c:v>
                </c:pt>
                <c:pt idx="4">
                  <c:v>C 2010</c:v>
                </c:pt>
                <c:pt idx="5">
                  <c:v>Total 2010</c:v>
                </c:pt>
                <c:pt idx="6">
                  <c:v>E 2011</c:v>
                </c:pt>
                <c:pt idx="7">
                  <c:v>P 2011</c:v>
                </c:pt>
                <c:pt idx="8">
                  <c:v>A 2011</c:v>
                </c:pt>
                <c:pt idx="9">
                  <c:v>T 2011</c:v>
                </c:pt>
                <c:pt idx="10">
                  <c:v>C 2011</c:v>
                </c:pt>
                <c:pt idx="11">
                  <c:v>Total 2011</c:v>
                </c:pt>
                <c:pt idx="12">
                  <c:v>E 2012</c:v>
                </c:pt>
                <c:pt idx="13">
                  <c:v>P 2012</c:v>
                </c:pt>
                <c:pt idx="14">
                  <c:v>A 2012</c:v>
                </c:pt>
                <c:pt idx="15">
                  <c:v>T 2012</c:v>
                </c:pt>
                <c:pt idx="16">
                  <c:v>C 2012</c:v>
                </c:pt>
                <c:pt idx="17">
                  <c:v>Total 2012</c:v>
                </c:pt>
                <c:pt idx="18">
                  <c:v>E 2013</c:v>
                </c:pt>
                <c:pt idx="19">
                  <c:v>P 2013</c:v>
                </c:pt>
                <c:pt idx="20">
                  <c:v>A 2013</c:v>
                </c:pt>
                <c:pt idx="21">
                  <c:v>T 2013</c:v>
                </c:pt>
                <c:pt idx="22">
                  <c:v>C 2013</c:v>
                </c:pt>
                <c:pt idx="23">
                  <c:v>Total 2013</c:v>
                </c:pt>
                <c:pt idx="24">
                  <c:v>E 2014</c:v>
                </c:pt>
                <c:pt idx="25">
                  <c:v>P 2014</c:v>
                </c:pt>
                <c:pt idx="26">
                  <c:v>A 2014</c:v>
                </c:pt>
                <c:pt idx="27">
                  <c:v>T 2014</c:v>
                </c:pt>
                <c:pt idx="28">
                  <c:v>C 2014</c:v>
                </c:pt>
                <c:pt idx="29">
                  <c:v>Total 2014</c:v>
                </c:pt>
                <c:pt idx="30">
                  <c:v>E Full</c:v>
                </c:pt>
                <c:pt idx="31">
                  <c:v>P Full</c:v>
                </c:pt>
                <c:pt idx="32">
                  <c:v>A Full</c:v>
                </c:pt>
                <c:pt idx="33">
                  <c:v>T Full</c:v>
                </c:pt>
                <c:pt idx="34">
                  <c:v>C Full</c:v>
                </c:pt>
                <c:pt idx="35">
                  <c:v>Total Full</c:v>
                </c:pt>
              </c:strCache>
            </c:strRef>
          </c:cat>
          <c:val>
            <c:numRef>
              <c:f>Count!$C$3:$C$38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</c:ser>
        <c:ser>
          <c:idx val="1"/>
          <c:order val="1"/>
          <c:tx>
            <c:strRef>
              <c:f>Count!$D$1:$D$2</c:f>
              <c:strCache>
                <c:ptCount val="1"/>
                <c:pt idx="0">
                  <c:v>zero</c:v>
                </c:pt>
              </c:strCache>
            </c:strRef>
          </c:tx>
          <c:dLbls>
            <c:showVal val="1"/>
          </c:dLbls>
          <c:cat>
            <c:strRef>
              <c:f>Count!$B$3:$B$38</c:f>
              <c:strCache>
                <c:ptCount val="36"/>
                <c:pt idx="0">
                  <c:v>E 2010</c:v>
                </c:pt>
                <c:pt idx="1">
                  <c:v>P 2010</c:v>
                </c:pt>
                <c:pt idx="2">
                  <c:v>A 2010</c:v>
                </c:pt>
                <c:pt idx="3">
                  <c:v>T 2010</c:v>
                </c:pt>
                <c:pt idx="4">
                  <c:v>C 2010</c:v>
                </c:pt>
                <c:pt idx="5">
                  <c:v>Total 2010</c:v>
                </c:pt>
                <c:pt idx="6">
                  <c:v>E 2011</c:v>
                </c:pt>
                <c:pt idx="7">
                  <c:v>P 2011</c:v>
                </c:pt>
                <c:pt idx="8">
                  <c:v>A 2011</c:v>
                </c:pt>
                <c:pt idx="9">
                  <c:v>T 2011</c:v>
                </c:pt>
                <c:pt idx="10">
                  <c:v>C 2011</c:v>
                </c:pt>
                <c:pt idx="11">
                  <c:v>Total 2011</c:v>
                </c:pt>
                <c:pt idx="12">
                  <c:v>E 2012</c:v>
                </c:pt>
                <c:pt idx="13">
                  <c:v>P 2012</c:v>
                </c:pt>
                <c:pt idx="14">
                  <c:v>A 2012</c:v>
                </c:pt>
                <c:pt idx="15">
                  <c:v>T 2012</c:v>
                </c:pt>
                <c:pt idx="16">
                  <c:v>C 2012</c:v>
                </c:pt>
                <c:pt idx="17">
                  <c:v>Total 2012</c:v>
                </c:pt>
                <c:pt idx="18">
                  <c:v>E 2013</c:v>
                </c:pt>
                <c:pt idx="19">
                  <c:v>P 2013</c:v>
                </c:pt>
                <c:pt idx="20">
                  <c:v>A 2013</c:v>
                </c:pt>
                <c:pt idx="21">
                  <c:v>T 2013</c:v>
                </c:pt>
                <c:pt idx="22">
                  <c:v>C 2013</c:v>
                </c:pt>
                <c:pt idx="23">
                  <c:v>Total 2013</c:v>
                </c:pt>
                <c:pt idx="24">
                  <c:v>E 2014</c:v>
                </c:pt>
                <c:pt idx="25">
                  <c:v>P 2014</c:v>
                </c:pt>
                <c:pt idx="26">
                  <c:v>A 2014</c:v>
                </c:pt>
                <c:pt idx="27">
                  <c:v>T 2014</c:v>
                </c:pt>
                <c:pt idx="28">
                  <c:v>C 2014</c:v>
                </c:pt>
                <c:pt idx="29">
                  <c:v>Total 2014</c:v>
                </c:pt>
                <c:pt idx="30">
                  <c:v>E Full</c:v>
                </c:pt>
                <c:pt idx="31">
                  <c:v>P Full</c:v>
                </c:pt>
                <c:pt idx="32">
                  <c:v>A Full</c:v>
                </c:pt>
                <c:pt idx="33">
                  <c:v>T Full</c:v>
                </c:pt>
                <c:pt idx="34">
                  <c:v>C Full</c:v>
                </c:pt>
                <c:pt idx="35">
                  <c:v>Total Full</c:v>
                </c:pt>
              </c:strCache>
            </c:strRef>
          </c:cat>
          <c:val>
            <c:numRef>
              <c:f>Count!$D$3:$D$38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2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2</c:v>
                </c:pt>
              </c:numCache>
            </c:numRef>
          </c:val>
        </c:ser>
        <c:ser>
          <c:idx val="2"/>
          <c:order val="2"/>
          <c:tx>
            <c:strRef>
              <c:f>Count!$E$1:$E$2</c:f>
              <c:strCache>
                <c:ptCount val="1"/>
                <c:pt idx="0">
                  <c:v>1-1000</c:v>
                </c:pt>
              </c:strCache>
            </c:strRef>
          </c:tx>
          <c:dLbls>
            <c:showVal val="1"/>
          </c:dLbls>
          <c:cat>
            <c:strRef>
              <c:f>Count!$B$3:$B$38</c:f>
              <c:strCache>
                <c:ptCount val="36"/>
                <c:pt idx="0">
                  <c:v>E 2010</c:v>
                </c:pt>
                <c:pt idx="1">
                  <c:v>P 2010</c:v>
                </c:pt>
                <c:pt idx="2">
                  <c:v>A 2010</c:v>
                </c:pt>
                <c:pt idx="3">
                  <c:v>T 2010</c:v>
                </c:pt>
                <c:pt idx="4">
                  <c:v>C 2010</c:v>
                </c:pt>
                <c:pt idx="5">
                  <c:v>Total 2010</c:v>
                </c:pt>
                <c:pt idx="6">
                  <c:v>E 2011</c:v>
                </c:pt>
                <c:pt idx="7">
                  <c:v>P 2011</c:v>
                </c:pt>
                <c:pt idx="8">
                  <c:v>A 2011</c:v>
                </c:pt>
                <c:pt idx="9">
                  <c:v>T 2011</c:v>
                </c:pt>
                <c:pt idx="10">
                  <c:v>C 2011</c:v>
                </c:pt>
                <c:pt idx="11">
                  <c:v>Total 2011</c:v>
                </c:pt>
                <c:pt idx="12">
                  <c:v>E 2012</c:v>
                </c:pt>
                <c:pt idx="13">
                  <c:v>P 2012</c:v>
                </c:pt>
                <c:pt idx="14">
                  <c:v>A 2012</c:v>
                </c:pt>
                <c:pt idx="15">
                  <c:v>T 2012</c:v>
                </c:pt>
                <c:pt idx="16">
                  <c:v>C 2012</c:v>
                </c:pt>
                <c:pt idx="17">
                  <c:v>Total 2012</c:v>
                </c:pt>
                <c:pt idx="18">
                  <c:v>E 2013</c:v>
                </c:pt>
                <c:pt idx="19">
                  <c:v>P 2013</c:v>
                </c:pt>
                <c:pt idx="20">
                  <c:v>A 2013</c:v>
                </c:pt>
                <c:pt idx="21">
                  <c:v>T 2013</c:v>
                </c:pt>
                <c:pt idx="22">
                  <c:v>C 2013</c:v>
                </c:pt>
                <c:pt idx="23">
                  <c:v>Total 2013</c:v>
                </c:pt>
                <c:pt idx="24">
                  <c:v>E 2014</c:v>
                </c:pt>
                <c:pt idx="25">
                  <c:v>P 2014</c:v>
                </c:pt>
                <c:pt idx="26">
                  <c:v>A 2014</c:v>
                </c:pt>
                <c:pt idx="27">
                  <c:v>T 2014</c:v>
                </c:pt>
                <c:pt idx="28">
                  <c:v>C 2014</c:v>
                </c:pt>
                <c:pt idx="29">
                  <c:v>Total 2014</c:v>
                </c:pt>
                <c:pt idx="30">
                  <c:v>E Full</c:v>
                </c:pt>
                <c:pt idx="31">
                  <c:v>P Full</c:v>
                </c:pt>
                <c:pt idx="32">
                  <c:v>A Full</c:v>
                </c:pt>
                <c:pt idx="33">
                  <c:v>T Full</c:v>
                </c:pt>
                <c:pt idx="34">
                  <c:v>C Full</c:v>
                </c:pt>
                <c:pt idx="35">
                  <c:v>Total Full</c:v>
                </c:pt>
              </c:strCache>
            </c:strRef>
          </c:cat>
          <c:val>
            <c:numRef>
              <c:f>Count!$E$3:$E$38</c:f>
              <c:numCache>
                <c:formatCode>#,##0</c:formatCode>
                <c:ptCount val="36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2</c:v>
                </c:pt>
                <c:pt idx="16">
                  <c:v>0</c:v>
                </c:pt>
                <c:pt idx="17">
                  <c:v>13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13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13</c:v>
                </c:pt>
                <c:pt idx="30">
                  <c:v>3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13</c:v>
                </c:pt>
              </c:numCache>
            </c:numRef>
          </c:val>
        </c:ser>
        <c:ser>
          <c:idx val="3"/>
          <c:order val="3"/>
          <c:tx>
            <c:strRef>
              <c:f>Count!$F$1:$F$2</c:f>
              <c:strCache>
                <c:ptCount val="1"/>
                <c:pt idx="0">
                  <c:v>1'001-10'000</c:v>
                </c:pt>
              </c:strCache>
            </c:strRef>
          </c:tx>
          <c:dLbls>
            <c:showVal val="1"/>
          </c:dLbls>
          <c:cat>
            <c:strRef>
              <c:f>Count!$B$3:$B$38</c:f>
              <c:strCache>
                <c:ptCount val="36"/>
                <c:pt idx="0">
                  <c:v>E 2010</c:v>
                </c:pt>
                <c:pt idx="1">
                  <c:v>P 2010</c:v>
                </c:pt>
                <c:pt idx="2">
                  <c:v>A 2010</c:v>
                </c:pt>
                <c:pt idx="3">
                  <c:v>T 2010</c:v>
                </c:pt>
                <c:pt idx="4">
                  <c:v>C 2010</c:v>
                </c:pt>
                <c:pt idx="5">
                  <c:v>Total 2010</c:v>
                </c:pt>
                <c:pt idx="6">
                  <c:v>E 2011</c:v>
                </c:pt>
                <c:pt idx="7">
                  <c:v>P 2011</c:v>
                </c:pt>
                <c:pt idx="8">
                  <c:v>A 2011</c:v>
                </c:pt>
                <c:pt idx="9">
                  <c:v>T 2011</c:v>
                </c:pt>
                <c:pt idx="10">
                  <c:v>C 2011</c:v>
                </c:pt>
                <c:pt idx="11">
                  <c:v>Total 2011</c:v>
                </c:pt>
                <c:pt idx="12">
                  <c:v>E 2012</c:v>
                </c:pt>
                <c:pt idx="13">
                  <c:v>P 2012</c:v>
                </c:pt>
                <c:pt idx="14">
                  <c:v>A 2012</c:v>
                </c:pt>
                <c:pt idx="15">
                  <c:v>T 2012</c:v>
                </c:pt>
                <c:pt idx="16">
                  <c:v>C 2012</c:v>
                </c:pt>
                <c:pt idx="17">
                  <c:v>Total 2012</c:v>
                </c:pt>
                <c:pt idx="18">
                  <c:v>E 2013</c:v>
                </c:pt>
                <c:pt idx="19">
                  <c:v>P 2013</c:v>
                </c:pt>
                <c:pt idx="20">
                  <c:v>A 2013</c:v>
                </c:pt>
                <c:pt idx="21">
                  <c:v>T 2013</c:v>
                </c:pt>
                <c:pt idx="22">
                  <c:v>C 2013</c:v>
                </c:pt>
                <c:pt idx="23">
                  <c:v>Total 2013</c:v>
                </c:pt>
                <c:pt idx="24">
                  <c:v>E 2014</c:v>
                </c:pt>
                <c:pt idx="25">
                  <c:v>P 2014</c:v>
                </c:pt>
                <c:pt idx="26">
                  <c:v>A 2014</c:v>
                </c:pt>
                <c:pt idx="27">
                  <c:v>T 2014</c:v>
                </c:pt>
                <c:pt idx="28">
                  <c:v>C 2014</c:v>
                </c:pt>
                <c:pt idx="29">
                  <c:v>Total 2014</c:v>
                </c:pt>
                <c:pt idx="30">
                  <c:v>E Full</c:v>
                </c:pt>
                <c:pt idx="31">
                  <c:v>P Full</c:v>
                </c:pt>
                <c:pt idx="32">
                  <c:v>A Full</c:v>
                </c:pt>
                <c:pt idx="33">
                  <c:v>T Full</c:v>
                </c:pt>
                <c:pt idx="34">
                  <c:v>C Full</c:v>
                </c:pt>
                <c:pt idx="35">
                  <c:v>Total Full</c:v>
                </c:pt>
              </c:strCache>
            </c:strRef>
          </c:cat>
          <c:val>
            <c:numRef>
              <c:f>Count!$F$3:$F$38</c:f>
              <c:numCache>
                <c:formatCode>#,##0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</c:numCache>
            </c:numRef>
          </c:val>
        </c:ser>
        <c:ser>
          <c:idx val="4"/>
          <c:order val="4"/>
          <c:tx>
            <c:strRef>
              <c:f>Count!$G$1:$G$2</c:f>
              <c:strCache>
                <c:ptCount val="1"/>
                <c:pt idx="0">
                  <c:v>10'001-100'000</c:v>
                </c:pt>
              </c:strCache>
            </c:strRef>
          </c:tx>
          <c:dLbls>
            <c:showVal val="1"/>
          </c:dLbls>
          <c:cat>
            <c:strRef>
              <c:f>Count!$B$3:$B$38</c:f>
              <c:strCache>
                <c:ptCount val="36"/>
                <c:pt idx="0">
                  <c:v>E 2010</c:v>
                </c:pt>
                <c:pt idx="1">
                  <c:v>P 2010</c:v>
                </c:pt>
                <c:pt idx="2">
                  <c:v>A 2010</c:v>
                </c:pt>
                <c:pt idx="3">
                  <c:v>T 2010</c:v>
                </c:pt>
                <c:pt idx="4">
                  <c:v>C 2010</c:v>
                </c:pt>
                <c:pt idx="5">
                  <c:v>Total 2010</c:v>
                </c:pt>
                <c:pt idx="6">
                  <c:v>E 2011</c:v>
                </c:pt>
                <c:pt idx="7">
                  <c:v>P 2011</c:v>
                </c:pt>
                <c:pt idx="8">
                  <c:v>A 2011</c:v>
                </c:pt>
                <c:pt idx="9">
                  <c:v>T 2011</c:v>
                </c:pt>
                <c:pt idx="10">
                  <c:v>C 2011</c:v>
                </c:pt>
                <c:pt idx="11">
                  <c:v>Total 2011</c:v>
                </c:pt>
                <c:pt idx="12">
                  <c:v>E 2012</c:v>
                </c:pt>
                <c:pt idx="13">
                  <c:v>P 2012</c:v>
                </c:pt>
                <c:pt idx="14">
                  <c:v>A 2012</c:v>
                </c:pt>
                <c:pt idx="15">
                  <c:v>T 2012</c:v>
                </c:pt>
                <c:pt idx="16">
                  <c:v>C 2012</c:v>
                </c:pt>
                <c:pt idx="17">
                  <c:v>Total 2012</c:v>
                </c:pt>
                <c:pt idx="18">
                  <c:v>E 2013</c:v>
                </c:pt>
                <c:pt idx="19">
                  <c:v>P 2013</c:v>
                </c:pt>
                <c:pt idx="20">
                  <c:v>A 2013</c:v>
                </c:pt>
                <c:pt idx="21">
                  <c:v>T 2013</c:v>
                </c:pt>
                <c:pt idx="22">
                  <c:v>C 2013</c:v>
                </c:pt>
                <c:pt idx="23">
                  <c:v>Total 2013</c:v>
                </c:pt>
                <c:pt idx="24">
                  <c:v>E 2014</c:v>
                </c:pt>
                <c:pt idx="25">
                  <c:v>P 2014</c:v>
                </c:pt>
                <c:pt idx="26">
                  <c:v>A 2014</c:v>
                </c:pt>
                <c:pt idx="27">
                  <c:v>T 2014</c:v>
                </c:pt>
                <c:pt idx="28">
                  <c:v>C 2014</c:v>
                </c:pt>
                <c:pt idx="29">
                  <c:v>Total 2014</c:v>
                </c:pt>
                <c:pt idx="30">
                  <c:v>E Full</c:v>
                </c:pt>
                <c:pt idx="31">
                  <c:v>P Full</c:v>
                </c:pt>
                <c:pt idx="32">
                  <c:v>A Full</c:v>
                </c:pt>
                <c:pt idx="33">
                  <c:v>T Full</c:v>
                </c:pt>
                <c:pt idx="34">
                  <c:v>C Full</c:v>
                </c:pt>
                <c:pt idx="35">
                  <c:v>Total Full</c:v>
                </c:pt>
              </c:strCache>
            </c:strRef>
          </c:cat>
          <c:val>
            <c:numRef>
              <c:f>Count!$G$3:$G$38</c:f>
              <c:numCache>
                <c:formatCode>#,##0</c:formatCode>
                <c:ptCount val="3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</c:numCache>
            </c:numRef>
          </c:val>
        </c:ser>
        <c:ser>
          <c:idx val="5"/>
          <c:order val="5"/>
          <c:tx>
            <c:strRef>
              <c:f>Count!$H$1:$H$2</c:f>
              <c:strCache>
                <c:ptCount val="1"/>
                <c:pt idx="0">
                  <c:v>100'001-1'000'000</c:v>
                </c:pt>
              </c:strCache>
            </c:strRef>
          </c:tx>
          <c:dLbls>
            <c:showVal val="1"/>
          </c:dLbls>
          <c:cat>
            <c:strRef>
              <c:f>Count!$B$3:$B$38</c:f>
              <c:strCache>
                <c:ptCount val="36"/>
                <c:pt idx="0">
                  <c:v>E 2010</c:v>
                </c:pt>
                <c:pt idx="1">
                  <c:v>P 2010</c:v>
                </c:pt>
                <c:pt idx="2">
                  <c:v>A 2010</c:v>
                </c:pt>
                <c:pt idx="3">
                  <c:v>T 2010</c:v>
                </c:pt>
                <c:pt idx="4">
                  <c:v>C 2010</c:v>
                </c:pt>
                <c:pt idx="5">
                  <c:v>Total 2010</c:v>
                </c:pt>
                <c:pt idx="6">
                  <c:v>E 2011</c:v>
                </c:pt>
                <c:pt idx="7">
                  <c:v>P 2011</c:v>
                </c:pt>
                <c:pt idx="8">
                  <c:v>A 2011</c:v>
                </c:pt>
                <c:pt idx="9">
                  <c:v>T 2011</c:v>
                </c:pt>
                <c:pt idx="10">
                  <c:v>C 2011</c:v>
                </c:pt>
                <c:pt idx="11">
                  <c:v>Total 2011</c:v>
                </c:pt>
                <c:pt idx="12">
                  <c:v>E 2012</c:v>
                </c:pt>
                <c:pt idx="13">
                  <c:v>P 2012</c:v>
                </c:pt>
                <c:pt idx="14">
                  <c:v>A 2012</c:v>
                </c:pt>
                <c:pt idx="15">
                  <c:v>T 2012</c:v>
                </c:pt>
                <c:pt idx="16">
                  <c:v>C 2012</c:v>
                </c:pt>
                <c:pt idx="17">
                  <c:v>Total 2012</c:v>
                </c:pt>
                <c:pt idx="18">
                  <c:v>E 2013</c:v>
                </c:pt>
                <c:pt idx="19">
                  <c:v>P 2013</c:v>
                </c:pt>
                <c:pt idx="20">
                  <c:v>A 2013</c:v>
                </c:pt>
                <c:pt idx="21">
                  <c:v>T 2013</c:v>
                </c:pt>
                <c:pt idx="22">
                  <c:v>C 2013</c:v>
                </c:pt>
                <c:pt idx="23">
                  <c:v>Total 2013</c:v>
                </c:pt>
                <c:pt idx="24">
                  <c:v>E 2014</c:v>
                </c:pt>
                <c:pt idx="25">
                  <c:v>P 2014</c:v>
                </c:pt>
                <c:pt idx="26">
                  <c:v>A 2014</c:v>
                </c:pt>
                <c:pt idx="27">
                  <c:v>T 2014</c:v>
                </c:pt>
                <c:pt idx="28">
                  <c:v>C 2014</c:v>
                </c:pt>
                <c:pt idx="29">
                  <c:v>Total 2014</c:v>
                </c:pt>
                <c:pt idx="30">
                  <c:v>E Full</c:v>
                </c:pt>
                <c:pt idx="31">
                  <c:v>P Full</c:v>
                </c:pt>
                <c:pt idx="32">
                  <c:v>A Full</c:v>
                </c:pt>
                <c:pt idx="33">
                  <c:v>T Full</c:v>
                </c:pt>
                <c:pt idx="34">
                  <c:v>C Full</c:v>
                </c:pt>
                <c:pt idx="35">
                  <c:v>Total Full</c:v>
                </c:pt>
              </c:strCache>
            </c:strRef>
          </c:cat>
          <c:val>
            <c:numRef>
              <c:f>Count!$H$3:$H$38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</c:ser>
        <c:ser>
          <c:idx val="6"/>
          <c:order val="6"/>
          <c:tx>
            <c:strRef>
              <c:f>Count!$I$1:$I$2</c:f>
              <c:strCache>
                <c:ptCount val="1"/>
                <c:pt idx="0">
                  <c:v>1'000'001-10'000'000</c:v>
                </c:pt>
              </c:strCache>
            </c:strRef>
          </c:tx>
          <c:dLbls>
            <c:showVal val="1"/>
          </c:dLbls>
          <c:cat>
            <c:strRef>
              <c:f>Count!$B$3:$B$38</c:f>
              <c:strCache>
                <c:ptCount val="36"/>
                <c:pt idx="0">
                  <c:v>E 2010</c:v>
                </c:pt>
                <c:pt idx="1">
                  <c:v>P 2010</c:v>
                </c:pt>
                <c:pt idx="2">
                  <c:v>A 2010</c:v>
                </c:pt>
                <c:pt idx="3">
                  <c:v>T 2010</c:v>
                </c:pt>
                <c:pt idx="4">
                  <c:v>C 2010</c:v>
                </c:pt>
                <c:pt idx="5">
                  <c:v>Total 2010</c:v>
                </c:pt>
                <c:pt idx="6">
                  <c:v>E 2011</c:v>
                </c:pt>
                <c:pt idx="7">
                  <c:v>P 2011</c:v>
                </c:pt>
                <c:pt idx="8">
                  <c:v>A 2011</c:v>
                </c:pt>
                <c:pt idx="9">
                  <c:v>T 2011</c:v>
                </c:pt>
                <c:pt idx="10">
                  <c:v>C 2011</c:v>
                </c:pt>
                <c:pt idx="11">
                  <c:v>Total 2011</c:v>
                </c:pt>
                <c:pt idx="12">
                  <c:v>E 2012</c:v>
                </c:pt>
                <c:pt idx="13">
                  <c:v>P 2012</c:v>
                </c:pt>
                <c:pt idx="14">
                  <c:v>A 2012</c:v>
                </c:pt>
                <c:pt idx="15">
                  <c:v>T 2012</c:v>
                </c:pt>
                <c:pt idx="16">
                  <c:v>C 2012</c:v>
                </c:pt>
                <c:pt idx="17">
                  <c:v>Total 2012</c:v>
                </c:pt>
                <c:pt idx="18">
                  <c:v>E 2013</c:v>
                </c:pt>
                <c:pt idx="19">
                  <c:v>P 2013</c:v>
                </c:pt>
                <c:pt idx="20">
                  <c:v>A 2013</c:v>
                </c:pt>
                <c:pt idx="21">
                  <c:v>T 2013</c:v>
                </c:pt>
                <c:pt idx="22">
                  <c:v>C 2013</c:v>
                </c:pt>
                <c:pt idx="23">
                  <c:v>Total 2013</c:v>
                </c:pt>
                <c:pt idx="24">
                  <c:v>E 2014</c:v>
                </c:pt>
                <c:pt idx="25">
                  <c:v>P 2014</c:v>
                </c:pt>
                <c:pt idx="26">
                  <c:v>A 2014</c:v>
                </c:pt>
                <c:pt idx="27">
                  <c:v>T 2014</c:v>
                </c:pt>
                <c:pt idx="28">
                  <c:v>C 2014</c:v>
                </c:pt>
                <c:pt idx="29">
                  <c:v>Total 2014</c:v>
                </c:pt>
                <c:pt idx="30">
                  <c:v>E Full</c:v>
                </c:pt>
                <c:pt idx="31">
                  <c:v>P Full</c:v>
                </c:pt>
                <c:pt idx="32">
                  <c:v>A Full</c:v>
                </c:pt>
                <c:pt idx="33">
                  <c:v>T Full</c:v>
                </c:pt>
                <c:pt idx="34">
                  <c:v>C Full</c:v>
                </c:pt>
                <c:pt idx="35">
                  <c:v>Total Full</c:v>
                </c:pt>
              </c:strCache>
            </c:strRef>
          </c:cat>
          <c:val>
            <c:numRef>
              <c:f>Count!$I$3:$I$38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</c:numCache>
            </c:numRef>
          </c:val>
        </c:ser>
        <c:dLbls>
          <c:showVal val="1"/>
        </c:dLbls>
        <c:gapWidth val="95"/>
        <c:overlap val="100"/>
        <c:axId val="85316352"/>
        <c:axId val="85317888"/>
      </c:barChart>
      <c:catAx>
        <c:axId val="85316352"/>
        <c:scaling>
          <c:orientation val="minMax"/>
        </c:scaling>
        <c:axPos val="b"/>
        <c:majorTickMark val="none"/>
        <c:tickLblPos val="nextTo"/>
        <c:crossAx val="85317888"/>
        <c:crosses val="autoZero"/>
        <c:auto val="1"/>
        <c:lblAlgn val="ctr"/>
        <c:lblOffset val="100"/>
      </c:catAx>
      <c:valAx>
        <c:axId val="85317888"/>
        <c:scaling>
          <c:orientation val="minMax"/>
        </c:scaling>
        <c:delete val="1"/>
        <c:axPos val="l"/>
        <c:numFmt formatCode="#,##0" sourceLinked="1"/>
        <c:majorTickMark val="none"/>
        <c:tickLblPos val="nextTo"/>
        <c:crossAx val="85316352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pivotSource>
    <c:name>[CostBinsPerStatus.xlsm]Pivot!PivotTable2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1991463812121522"/>
          <c:y val="0.14288361840788713"/>
          <c:w val="0.5472729738569907"/>
          <c:h val="0.61738534128320666"/>
        </c:manualLayout>
      </c:layout>
      <c:barChart>
        <c:barDir val="col"/>
        <c:grouping val="stacked"/>
        <c:ser>
          <c:idx val="0"/>
          <c:order val="0"/>
          <c:tx>
            <c:strRef>
              <c:f>Pivot!$B$16:$B$17</c:f>
              <c:strCache>
                <c:ptCount val="1"/>
                <c:pt idx="0">
                  <c:v>zero</c:v>
                </c:pt>
              </c:strCache>
            </c:strRef>
          </c:tx>
          <c:cat>
            <c:strRef>
              <c:f>Pivot!$A$18:$A$23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Pivot!$B$18:$B$23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Pivot!$C$16:$C$17</c:f>
              <c:strCache>
                <c:ptCount val="1"/>
                <c:pt idx="0">
                  <c:v>negative</c:v>
                </c:pt>
              </c:strCache>
            </c:strRef>
          </c:tx>
          <c:cat>
            <c:strRef>
              <c:f>Pivot!$A$18:$A$23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Pivot!$C$18:$C$23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Pivot!$D$16:$D$17</c:f>
              <c:strCache>
                <c:ptCount val="1"/>
                <c:pt idx="0">
                  <c:v>1-1000</c:v>
                </c:pt>
              </c:strCache>
            </c:strRef>
          </c:tx>
          <c:cat>
            <c:strRef>
              <c:f>Pivot!$A$18:$A$23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Pivot!$D$18:$D$23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</c:ser>
        <c:ser>
          <c:idx val="3"/>
          <c:order val="3"/>
          <c:tx>
            <c:strRef>
              <c:f>Pivot!$E$16:$E$17</c:f>
              <c:strCache>
                <c:ptCount val="1"/>
                <c:pt idx="0">
                  <c:v>1'001-10'000</c:v>
                </c:pt>
              </c:strCache>
            </c:strRef>
          </c:tx>
          <c:cat>
            <c:strRef>
              <c:f>Pivot!$A$18:$A$23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Pivot!$E$18:$E$23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strRef>
              <c:f>Pivot!$F$16:$F$17</c:f>
              <c:strCache>
                <c:ptCount val="1"/>
                <c:pt idx="0">
                  <c:v>10'001-100'000</c:v>
                </c:pt>
              </c:strCache>
            </c:strRef>
          </c:tx>
          <c:cat>
            <c:strRef>
              <c:f>Pivot!$A$18:$A$23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Pivot!$F$18:$F$23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tx>
            <c:strRef>
              <c:f>Pivot!$G$16:$G$17</c:f>
              <c:strCache>
                <c:ptCount val="1"/>
                <c:pt idx="0">
                  <c:v>1'000'001-10'000'000</c:v>
                </c:pt>
              </c:strCache>
            </c:strRef>
          </c:tx>
          <c:cat>
            <c:strRef>
              <c:f>Pivot!$A$18:$A$23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Pivot!$G$18:$G$23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tx>
            <c:strRef>
              <c:f>Pivot!$H$16:$H$17</c:f>
              <c:strCache>
                <c:ptCount val="1"/>
                <c:pt idx="0">
                  <c:v>&gt;10'000'000</c:v>
                </c:pt>
              </c:strCache>
            </c:strRef>
          </c:tx>
          <c:cat>
            <c:strRef>
              <c:f>Pivot!$A$18:$A$23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Pivot!$H$18:$H$23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overlap val="100"/>
        <c:axId val="72934144"/>
        <c:axId val="72935680"/>
      </c:barChart>
      <c:catAx>
        <c:axId val="72934144"/>
        <c:scaling>
          <c:orientation val="minMax"/>
        </c:scaling>
        <c:axPos val="b"/>
        <c:tickLblPos val="nextTo"/>
        <c:crossAx val="72935680"/>
        <c:crosses val="autoZero"/>
        <c:auto val="1"/>
        <c:lblAlgn val="ctr"/>
        <c:lblOffset val="100"/>
      </c:catAx>
      <c:valAx>
        <c:axId val="72935680"/>
        <c:scaling>
          <c:orientation val="minMax"/>
        </c:scaling>
        <c:axPos val="l"/>
        <c:majorGridlines/>
        <c:numFmt formatCode="General" sourceLinked="1"/>
        <c:tickLblPos val="nextTo"/>
        <c:crossAx val="729341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51" r="0.70000000000000051" t="0.7874015749999999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pivotSource>
    <c:name>[CostBinsPerStatus.xlsm]Pivot!PivotTable3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1983842445226262"/>
          <c:y val="7.1170033903711918E-2"/>
          <c:w val="0.50772882113140161"/>
          <c:h val="0.7206191806072989"/>
        </c:manualLayout>
      </c:layout>
      <c:barChart>
        <c:barDir val="col"/>
        <c:grouping val="stacked"/>
        <c:ser>
          <c:idx val="0"/>
          <c:order val="0"/>
          <c:tx>
            <c:strRef>
              <c:f>Pivot!$L$16:$L$17</c:f>
              <c:strCache>
                <c:ptCount val="1"/>
                <c:pt idx="0">
                  <c:v>zero</c:v>
                </c:pt>
              </c:strCache>
            </c:strRef>
          </c:tx>
          <c:cat>
            <c:strRef>
              <c:f>Pivot!$K$18:$K$23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Pivot!$L$18:$L$23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Pivot!$M$16:$M$17</c:f>
              <c:strCache>
                <c:ptCount val="1"/>
                <c:pt idx="0">
                  <c:v>negative</c:v>
                </c:pt>
              </c:strCache>
            </c:strRef>
          </c:tx>
          <c:cat>
            <c:strRef>
              <c:f>Pivot!$K$18:$K$23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Pivot!$M$18:$M$23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Pivot!$N$16:$N$17</c:f>
              <c:strCache>
                <c:ptCount val="1"/>
                <c:pt idx="0">
                  <c:v>1-1000</c:v>
                </c:pt>
              </c:strCache>
            </c:strRef>
          </c:tx>
          <c:cat>
            <c:strRef>
              <c:f>Pivot!$K$18:$K$23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Pivot!$N$18:$N$23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</c:ser>
        <c:ser>
          <c:idx val="3"/>
          <c:order val="3"/>
          <c:tx>
            <c:strRef>
              <c:f>Pivot!$O$16:$O$17</c:f>
              <c:strCache>
                <c:ptCount val="1"/>
                <c:pt idx="0">
                  <c:v>1'001-10'000</c:v>
                </c:pt>
              </c:strCache>
            </c:strRef>
          </c:tx>
          <c:cat>
            <c:strRef>
              <c:f>Pivot!$K$18:$K$23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Pivot!$O$18:$O$23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strRef>
              <c:f>Pivot!$P$16:$P$17</c:f>
              <c:strCache>
                <c:ptCount val="1"/>
                <c:pt idx="0">
                  <c:v>10'001-100'000</c:v>
                </c:pt>
              </c:strCache>
            </c:strRef>
          </c:tx>
          <c:cat>
            <c:strRef>
              <c:f>Pivot!$K$18:$K$23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Pivot!$P$18:$P$23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ser>
          <c:idx val="5"/>
          <c:order val="5"/>
          <c:tx>
            <c:strRef>
              <c:f>Pivot!$Q$16:$Q$17</c:f>
              <c:strCache>
                <c:ptCount val="1"/>
                <c:pt idx="0">
                  <c:v>100'001-1'000'000</c:v>
                </c:pt>
              </c:strCache>
            </c:strRef>
          </c:tx>
          <c:cat>
            <c:strRef>
              <c:f>Pivot!$K$18:$K$23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Pivot!$Q$18:$Q$23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ser>
          <c:idx val="6"/>
          <c:order val="6"/>
          <c:tx>
            <c:strRef>
              <c:f>Pivot!$R$16:$R$17</c:f>
              <c:strCache>
                <c:ptCount val="1"/>
                <c:pt idx="0">
                  <c:v>&gt;10'000'000</c:v>
                </c:pt>
              </c:strCache>
            </c:strRef>
          </c:tx>
          <c:cat>
            <c:strRef>
              <c:f>Pivot!$K$18:$K$23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Pivot!$R$18:$R$23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55041408"/>
        <c:axId val="66892928"/>
      </c:barChart>
      <c:catAx>
        <c:axId val="55041408"/>
        <c:scaling>
          <c:orientation val="minMax"/>
        </c:scaling>
        <c:axPos val="b"/>
        <c:tickLblPos val="nextTo"/>
        <c:crossAx val="66892928"/>
        <c:crosses val="autoZero"/>
        <c:auto val="1"/>
        <c:lblAlgn val="ctr"/>
        <c:lblOffset val="100"/>
      </c:catAx>
      <c:valAx>
        <c:axId val="66892928"/>
        <c:scaling>
          <c:orientation val="minMax"/>
        </c:scaling>
        <c:axPos val="l"/>
        <c:majorGridlines/>
        <c:numFmt formatCode="General" sourceLinked="1"/>
        <c:tickLblPos val="nextTo"/>
        <c:crossAx val="55041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51" r="0.70000000000000051" t="0.7874015749999999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pivotSource>
    <c:name>[CostBinsPerStatus.xlsm]Pivot!PivotTable4</c:name>
    <c:fmtId val="3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Pivot!$V$16:$V$17</c:f>
              <c:strCache>
                <c:ptCount val="1"/>
                <c:pt idx="0">
                  <c:v>zero</c:v>
                </c:pt>
              </c:strCache>
            </c:strRef>
          </c:tx>
          <c:cat>
            <c:strRef>
              <c:f>Pivot!$U$18:$U$23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Pivot!$V$18:$V$23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Pivot!$W$16:$W$17</c:f>
              <c:strCache>
                <c:ptCount val="1"/>
                <c:pt idx="0">
                  <c:v>negative</c:v>
                </c:pt>
              </c:strCache>
            </c:strRef>
          </c:tx>
          <c:cat>
            <c:strRef>
              <c:f>Pivot!$U$18:$U$23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Pivot!$W$18:$W$23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Pivot!$X$16:$X$17</c:f>
              <c:strCache>
                <c:ptCount val="1"/>
                <c:pt idx="0">
                  <c:v>1-1000</c:v>
                </c:pt>
              </c:strCache>
            </c:strRef>
          </c:tx>
          <c:cat>
            <c:strRef>
              <c:f>Pivot!$U$18:$U$23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Pivot!$X$18:$X$23</c:f>
              <c:numCache>
                <c:formatCode>General</c:formatCode>
                <c:ptCount val="5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</c:ser>
        <c:ser>
          <c:idx val="3"/>
          <c:order val="3"/>
          <c:tx>
            <c:strRef>
              <c:f>Pivot!$Y$16:$Y$17</c:f>
              <c:strCache>
                <c:ptCount val="1"/>
                <c:pt idx="0">
                  <c:v>10'001-100'000</c:v>
                </c:pt>
              </c:strCache>
            </c:strRef>
          </c:tx>
          <c:cat>
            <c:strRef>
              <c:f>Pivot!$U$18:$U$23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Pivot!$Y$18:$Y$23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ser>
          <c:idx val="4"/>
          <c:order val="4"/>
          <c:tx>
            <c:strRef>
              <c:f>Pivot!$Z$16:$Z$17</c:f>
              <c:strCache>
                <c:ptCount val="1"/>
                <c:pt idx="0">
                  <c:v>100'001-1'000'000</c:v>
                </c:pt>
              </c:strCache>
            </c:strRef>
          </c:tx>
          <c:cat>
            <c:strRef>
              <c:f>Pivot!$U$18:$U$23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Pivot!$Z$18:$Z$23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tx>
            <c:strRef>
              <c:f>Pivot!$AA$16:$AA$17</c:f>
              <c:strCache>
                <c:ptCount val="1"/>
                <c:pt idx="0">
                  <c:v>1'000'001-10'000'000</c:v>
                </c:pt>
              </c:strCache>
            </c:strRef>
          </c:tx>
          <c:cat>
            <c:strRef>
              <c:f>Pivot!$U$18:$U$23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Pivot!$AA$18:$AA$23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79780096"/>
        <c:axId val="79889920"/>
      </c:barChart>
      <c:catAx>
        <c:axId val="79780096"/>
        <c:scaling>
          <c:orientation val="minMax"/>
        </c:scaling>
        <c:axPos val="b"/>
        <c:tickLblPos val="nextTo"/>
        <c:crossAx val="79889920"/>
        <c:crosses val="autoZero"/>
        <c:auto val="1"/>
        <c:lblAlgn val="ctr"/>
        <c:lblOffset val="100"/>
      </c:catAx>
      <c:valAx>
        <c:axId val="79889920"/>
        <c:scaling>
          <c:orientation val="minMax"/>
        </c:scaling>
        <c:axPos val="l"/>
        <c:majorGridlines/>
        <c:numFmt formatCode="General" sourceLinked="1"/>
        <c:tickLblPos val="nextTo"/>
        <c:crossAx val="797800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pivotSource>
    <c:name>[CostBinsPerStatus.xlsm]Pivot!PivotTable1</c:name>
    <c:fmtId val="3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Pivot!$AE$16:$AE$17</c:f>
              <c:strCache>
                <c:ptCount val="1"/>
                <c:pt idx="0">
                  <c:v>negative</c:v>
                </c:pt>
              </c:strCache>
            </c:strRef>
          </c:tx>
          <c:cat>
            <c:strRef>
              <c:f>Pivot!$AD$18:$AD$23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Pivot!$AE$18:$AE$23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Pivot!$AF$16:$AF$17</c:f>
              <c:strCache>
                <c:ptCount val="1"/>
                <c:pt idx="0">
                  <c:v>1-1000</c:v>
                </c:pt>
              </c:strCache>
            </c:strRef>
          </c:tx>
          <c:cat>
            <c:strRef>
              <c:f>Pivot!$AD$18:$AD$23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Pivot!$AF$18:$AF$23</c:f>
              <c:numCache>
                <c:formatCode>General</c:formatCode>
                <c:ptCount val="5"/>
                <c:pt idx="0">
                  <c:v>5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ser>
          <c:idx val="2"/>
          <c:order val="2"/>
          <c:tx>
            <c:strRef>
              <c:f>Pivot!$AG$16:$AG$17</c:f>
              <c:strCache>
                <c:ptCount val="1"/>
                <c:pt idx="0">
                  <c:v>10'001-100'000</c:v>
                </c:pt>
              </c:strCache>
            </c:strRef>
          </c:tx>
          <c:cat>
            <c:strRef>
              <c:f>Pivot!$AD$18:$AD$23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Pivot!$AG$18:$AG$23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tx>
            <c:strRef>
              <c:f>Pivot!$AH$16:$AH$17</c:f>
              <c:strCache>
                <c:ptCount val="1"/>
                <c:pt idx="0">
                  <c:v>100'001-1'000'000</c:v>
                </c:pt>
              </c:strCache>
            </c:strRef>
          </c:tx>
          <c:cat>
            <c:strRef>
              <c:f>Pivot!$AD$18:$AD$23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Pivot!$AH$18:$AH$23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strRef>
              <c:f>Pivot!$AI$16:$AI$17</c:f>
              <c:strCache>
                <c:ptCount val="1"/>
                <c:pt idx="0">
                  <c:v>1'000'001-10'000'000</c:v>
                </c:pt>
              </c:strCache>
            </c:strRef>
          </c:tx>
          <c:cat>
            <c:strRef>
              <c:f>Pivot!$AD$18:$AD$23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Pivot!$AI$18:$AI$23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ser>
          <c:idx val="5"/>
          <c:order val="5"/>
          <c:tx>
            <c:strRef>
              <c:f>Pivot!$AJ$16:$AJ$17</c:f>
              <c:strCache>
                <c:ptCount val="1"/>
                <c:pt idx="0">
                  <c:v>&gt;10'000'000</c:v>
                </c:pt>
              </c:strCache>
            </c:strRef>
          </c:tx>
          <c:cat>
            <c:strRef>
              <c:f>Pivot!$AD$18:$AD$23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Pivot!$AJ$18:$AJ$23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overlap val="100"/>
        <c:axId val="79694080"/>
        <c:axId val="79983360"/>
      </c:barChart>
      <c:catAx>
        <c:axId val="79694080"/>
        <c:scaling>
          <c:orientation val="minMax"/>
        </c:scaling>
        <c:axPos val="b"/>
        <c:tickLblPos val="nextTo"/>
        <c:crossAx val="79983360"/>
        <c:crosses val="autoZero"/>
        <c:auto val="1"/>
        <c:lblAlgn val="ctr"/>
        <c:lblOffset val="100"/>
      </c:catAx>
      <c:valAx>
        <c:axId val="79983360"/>
        <c:scaling>
          <c:orientation val="minMax"/>
        </c:scaling>
        <c:axPos val="l"/>
        <c:majorGridlines/>
        <c:numFmt formatCode="General" sourceLinked="1"/>
        <c:tickLblPos val="nextTo"/>
        <c:crossAx val="796940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pivotSource>
    <c:name>[CostBinsPerStatus.xlsm]Pivot!PivotTable6</c:name>
    <c:fmtId val="3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Pivot!$AN$16:$AN$17</c:f>
              <c:strCache>
                <c:ptCount val="1"/>
                <c:pt idx="0">
                  <c:v>zero</c:v>
                </c:pt>
              </c:strCache>
            </c:strRef>
          </c:tx>
          <c:cat>
            <c:strRef>
              <c:f>Pivot!$AM$18:$AM$23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Pivot!$AN$18:$AN$23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Pivot!$AO$16:$AO$17</c:f>
              <c:strCache>
                <c:ptCount val="1"/>
                <c:pt idx="0">
                  <c:v>negative</c:v>
                </c:pt>
              </c:strCache>
            </c:strRef>
          </c:tx>
          <c:cat>
            <c:strRef>
              <c:f>Pivot!$AM$18:$AM$23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Pivot!$AO$18:$AO$23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Pivot!$AP$16:$AP$17</c:f>
              <c:strCache>
                <c:ptCount val="1"/>
                <c:pt idx="0">
                  <c:v>1-1000</c:v>
                </c:pt>
              </c:strCache>
            </c:strRef>
          </c:tx>
          <c:cat>
            <c:strRef>
              <c:f>Pivot!$AM$18:$AM$23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Pivot!$AP$18:$AP$23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</c:ser>
        <c:ser>
          <c:idx val="3"/>
          <c:order val="3"/>
          <c:tx>
            <c:strRef>
              <c:f>Pivot!$AQ$16:$AQ$17</c:f>
              <c:strCache>
                <c:ptCount val="1"/>
                <c:pt idx="0">
                  <c:v>1'001-10'000</c:v>
                </c:pt>
              </c:strCache>
            </c:strRef>
          </c:tx>
          <c:cat>
            <c:strRef>
              <c:f>Pivot!$AM$18:$AM$23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Pivot!$AQ$18:$AQ$23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ser>
          <c:idx val="4"/>
          <c:order val="4"/>
          <c:tx>
            <c:strRef>
              <c:f>Pivot!$AR$16:$AR$17</c:f>
              <c:strCache>
                <c:ptCount val="1"/>
                <c:pt idx="0">
                  <c:v>10'001-100'000</c:v>
                </c:pt>
              </c:strCache>
            </c:strRef>
          </c:tx>
          <c:cat>
            <c:strRef>
              <c:f>Pivot!$AM$18:$AM$23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Pivot!$AR$18:$AR$23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tx>
            <c:strRef>
              <c:f>Pivot!$AS$16:$AS$17</c:f>
              <c:strCache>
                <c:ptCount val="1"/>
                <c:pt idx="0">
                  <c:v>100'001-1'000'000</c:v>
                </c:pt>
              </c:strCache>
            </c:strRef>
          </c:tx>
          <c:cat>
            <c:strRef>
              <c:f>Pivot!$AM$18:$AM$23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Pivot!$AS$18:$AS$23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tx>
            <c:strRef>
              <c:f>Pivot!$AT$16:$AT$17</c:f>
              <c:strCache>
                <c:ptCount val="1"/>
                <c:pt idx="0">
                  <c:v>1'000'001-10'000'000</c:v>
                </c:pt>
              </c:strCache>
            </c:strRef>
          </c:tx>
          <c:cat>
            <c:strRef>
              <c:f>Pivot!$AM$18:$AM$23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Pivot!$AT$18:$AT$23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overlap val="100"/>
        <c:axId val="95109888"/>
        <c:axId val="95132288"/>
      </c:barChart>
      <c:catAx>
        <c:axId val="95109888"/>
        <c:scaling>
          <c:orientation val="minMax"/>
        </c:scaling>
        <c:axPos val="b"/>
        <c:tickLblPos val="nextTo"/>
        <c:crossAx val="95132288"/>
        <c:crosses val="autoZero"/>
        <c:auto val="1"/>
        <c:lblAlgn val="ctr"/>
        <c:lblOffset val="100"/>
      </c:catAx>
      <c:valAx>
        <c:axId val="95132288"/>
        <c:scaling>
          <c:orientation val="minMax"/>
        </c:scaling>
        <c:axPos val="l"/>
        <c:majorGridlines/>
        <c:numFmt formatCode="General" sourceLinked="1"/>
        <c:tickLblPos val="nextTo"/>
        <c:crossAx val="951098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pivotSource>
    <c:name>[CostBinsPerStatus.xlsm]Pivot!PivotTable5</c:name>
    <c:fmtId val="3"/>
  </c:pivotSource>
  <c:chart>
    <c:title>
      <c:layout/>
    </c:title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Pivot!$AX$16:$AX$17</c:f>
              <c:strCache>
                <c:ptCount val="1"/>
                <c:pt idx="0">
                  <c:v>&gt;10'000'000</c:v>
                </c:pt>
              </c:strCache>
            </c:strRef>
          </c:tx>
          <c:cat>
            <c:strRef>
              <c:f>Pivot!$AW$18:$AW$23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E</c:v>
                </c:pt>
                <c:pt idx="3">
                  <c:v>P</c:v>
                </c:pt>
                <c:pt idx="4">
                  <c:v>T</c:v>
                </c:pt>
              </c:strCache>
            </c:strRef>
          </c:cat>
          <c:val>
            <c:numRef>
              <c:f>Pivot!$AX$18:$AX$23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</c:ser>
        <c:overlap val="100"/>
        <c:axId val="104220160"/>
        <c:axId val="79486976"/>
      </c:barChart>
      <c:catAx>
        <c:axId val="104220160"/>
        <c:scaling>
          <c:orientation val="minMax"/>
        </c:scaling>
        <c:axPos val="b"/>
        <c:tickLblPos val="nextTo"/>
        <c:crossAx val="79486976"/>
        <c:crosses val="autoZero"/>
        <c:auto val="1"/>
        <c:lblAlgn val="ctr"/>
        <c:lblOffset val="100"/>
      </c:catAx>
      <c:valAx>
        <c:axId val="79486976"/>
        <c:scaling>
          <c:orientation val="minMax"/>
        </c:scaling>
        <c:axPos val="l"/>
        <c:majorGridlines/>
        <c:numFmt formatCode="General" sourceLinked="1"/>
        <c:tickLblPos val="nextTo"/>
        <c:crossAx val="104220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1</xdr:row>
      <xdr:rowOff>0</xdr:rowOff>
    </xdr:from>
    <xdr:to>
      <xdr:col>16</xdr:col>
      <xdr:colOff>752475</xdr:colOff>
      <xdr:row>38</xdr:row>
      <xdr:rowOff>57150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28575</xdr:rowOff>
    </xdr:from>
    <xdr:to>
      <xdr:col>8</xdr:col>
      <xdr:colOff>1028700</xdr:colOff>
      <xdr:row>11</xdr:row>
      <xdr:rowOff>152401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1</xdr:row>
      <xdr:rowOff>38099</xdr:rowOff>
    </xdr:from>
    <xdr:to>
      <xdr:col>19</xdr:col>
      <xdr:colOff>19050</xdr:colOff>
      <xdr:row>12</xdr:row>
      <xdr:rowOff>9524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9524</xdr:colOff>
      <xdr:row>1</xdr:row>
      <xdr:rowOff>9525</xdr:rowOff>
    </xdr:from>
    <xdr:to>
      <xdr:col>27</xdr:col>
      <xdr:colOff>1019175</xdr:colOff>
      <xdr:row>11</xdr:row>
      <xdr:rowOff>171451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9525</xdr:colOff>
      <xdr:row>1</xdr:row>
      <xdr:rowOff>9525</xdr:rowOff>
    </xdr:from>
    <xdr:to>
      <xdr:col>37</xdr:col>
      <xdr:colOff>0</xdr:colOff>
      <xdr:row>11</xdr:row>
      <xdr:rowOff>180975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28574</xdr:colOff>
      <xdr:row>1</xdr:row>
      <xdr:rowOff>0</xdr:rowOff>
    </xdr:from>
    <xdr:to>
      <xdr:col>46</xdr:col>
      <xdr:colOff>962025</xdr:colOff>
      <xdr:row>11</xdr:row>
      <xdr:rowOff>171450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48</xdr:col>
      <xdr:colOff>28575</xdr:colOff>
      <xdr:row>1</xdr:row>
      <xdr:rowOff>28575</xdr:rowOff>
    </xdr:from>
    <xdr:to>
      <xdr:col>56</xdr:col>
      <xdr:colOff>695325</xdr:colOff>
      <xdr:row>12</xdr:row>
      <xdr:rowOff>9525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me-PC" refreshedDate="40803.50439490741" createdVersion="3" refreshedVersion="3" minRefreshableVersion="3" recordCount="21">
  <cacheSource type="worksheet">
    <worksheetSource ref="A1:N22" sheet="Bin"/>
  </cacheSource>
  <cacheFields count="14">
    <cacheField name="PiIdentifier" numFmtId="0">
      <sharedItems count="21">
        <s v="Pi0001020"/>
        <s v="Pi0001016"/>
        <s v="Pi0001017"/>
        <s v="Pi0001001"/>
        <s v="Pi0001006"/>
        <s v="Pi0001015"/>
        <s v="Pi0001000"/>
        <s v="Pi0001013"/>
        <s v="Pi0001018"/>
        <s v="Pi0001002"/>
        <s v="Pi0001007"/>
        <s v="Pi0001019"/>
        <s v="Pi0001009"/>
        <s v="Pi0001008"/>
        <s v="Pi0001004"/>
        <s v="Pi0001014"/>
        <s v="Pi0001005"/>
        <s v="Pi0001010"/>
        <s v="Pi0001003"/>
        <s v="Pi0001012"/>
        <s v="Pi0001011"/>
      </sharedItems>
    </cacheField>
    <cacheField name="PiStatus" numFmtId="0">
      <sharedItems count="5">
        <s v="A"/>
        <s v="E"/>
        <s v="P"/>
        <s v="T"/>
        <s v="C"/>
      </sharedItems>
    </cacheField>
    <cacheField name="EACFullCost2010" numFmtId="3">
      <sharedItems containsSemiMixedTypes="0" containsString="0" containsNumber="1" containsInteger="1" minValue="-100" maxValue="100000000"/>
    </cacheField>
    <cacheField name="Bin2010" numFmtId="3">
      <sharedItems count="7">
        <s v="1'000'001-10'000'000"/>
        <s v="10'001-100'000"/>
        <s v="1'001-10'000"/>
        <s v="1-1000"/>
        <s v="&gt;10'000'000"/>
        <s v="zero"/>
        <s v="negative"/>
      </sharedItems>
    </cacheField>
    <cacheField name="EACFullCost2011" numFmtId="3">
      <sharedItems containsSemiMixedTypes="0" containsString="0" containsNumber="1" containsInteger="1" minValue="-1000" maxValue="100000000"/>
    </cacheField>
    <cacheField name="Bin2011" numFmtId="3">
      <sharedItems count="7">
        <s v="1-1000"/>
        <s v="zero"/>
        <s v="10'001-100'000"/>
        <s v="&gt;10'000'000"/>
        <s v="100'001-1'000'000"/>
        <s v="negative"/>
        <s v="1'001-10'000"/>
      </sharedItems>
    </cacheField>
    <cacheField name="EACFullCost2012" numFmtId="3">
      <sharedItems containsSemiMixedTypes="0" containsString="0" containsNumber="1" containsInteger="1" minValue="-10" maxValue="10000000"/>
    </cacheField>
    <cacheField name="Bin2012" numFmtId="3">
      <sharedItems count="6">
        <s v="1-1000"/>
        <s v="10'001-100'000"/>
        <s v="zero"/>
        <s v="100'001-1'000'000"/>
        <s v="negative"/>
        <s v="1'000'001-10'000'000"/>
      </sharedItems>
    </cacheField>
    <cacheField name="EACFullCost2013" numFmtId="0">
      <sharedItems containsSemiMixedTypes="0" containsString="0" containsNumber="1" containsInteger="1" minValue="-10000" maxValue="100000000"/>
    </cacheField>
    <cacheField name="Bin2013" numFmtId="3">
      <sharedItems count="6">
        <s v="1-1000"/>
        <s v="negative"/>
        <s v="&gt;10'000'000"/>
        <s v="100'001-1'000'000"/>
        <s v="10'001-100'000"/>
        <s v="1'000'001-10'000'000"/>
      </sharedItems>
    </cacheField>
    <cacheField name="EACFullCost2014" numFmtId="0">
      <sharedItems containsSemiMixedTypes="0" containsString="0" containsNumber="1" containsInteger="1" minValue="-100000" maxValue="10000000"/>
    </cacheField>
    <cacheField name="Bin2014" numFmtId="3">
      <sharedItems count="7">
        <s v="1-1000"/>
        <s v="zero"/>
        <s v="negative"/>
        <s v="10'001-100'000"/>
        <s v="100'001-1'000'000"/>
        <s v="1'000'001-10'000'000"/>
        <s v="1'001-10'000"/>
      </sharedItems>
    </cacheField>
    <cacheField name="EACFullCostTotal" numFmtId="0">
      <sharedItems containsSemiMixedTypes="0" containsString="0" containsNumber="1" containsInteger="1" minValue="10000012" maxValue="111000102"/>
    </cacheField>
    <cacheField name="BinFull" numFmtId="3">
      <sharedItems count="1">
        <s v="&gt;10'000'000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ome-PC" refreshedDate="40803.505452430552" createdVersion="3" refreshedVersion="3" minRefreshableVersion="3" recordCount="21">
  <cacheSource type="worksheet">
    <worksheetSource ref="A1:H22" sheet="Bin"/>
  </cacheSource>
  <cacheFields count="8">
    <cacheField name="PiIdentifier" numFmtId="0">
      <sharedItems count="21">
        <s v="Pi0001020"/>
        <s v="Pi0001016"/>
        <s v="Pi0001017"/>
        <s v="Pi0001001"/>
        <s v="Pi0001006"/>
        <s v="Pi0001015"/>
        <s v="Pi0001000"/>
        <s v="Pi0001013"/>
        <s v="Pi0001018"/>
        <s v="Pi0001002"/>
        <s v="Pi0001007"/>
        <s v="Pi0001019"/>
        <s v="Pi0001009"/>
        <s v="Pi0001008"/>
        <s v="Pi0001004"/>
        <s v="Pi0001014"/>
        <s v="Pi0001005"/>
        <s v="Pi0001010"/>
        <s v="Pi0001003"/>
        <s v="Pi0001012"/>
        <s v="Pi0001011"/>
      </sharedItems>
    </cacheField>
    <cacheField name="PiStatus" numFmtId="0">
      <sharedItems count="5">
        <s v="A"/>
        <s v="E"/>
        <s v="P"/>
        <s v="T"/>
        <s v="C"/>
      </sharedItems>
    </cacheField>
    <cacheField name="EACFullCost2010" numFmtId="3">
      <sharedItems containsSemiMixedTypes="0" containsString="0" containsNumber="1" containsInteger="1" minValue="-100" maxValue="100000000"/>
    </cacheField>
    <cacheField name="Bin2010" numFmtId="3">
      <sharedItems/>
    </cacheField>
    <cacheField name="EACFullCost2011" numFmtId="3">
      <sharedItems containsSemiMixedTypes="0" containsString="0" containsNumber="1" containsInteger="1" minValue="-1000" maxValue="100000000"/>
    </cacheField>
    <cacheField name="Bin2011" numFmtId="3">
      <sharedItems count="14">
        <s v="1-1000"/>
        <s v="zero"/>
        <s v="10'001-100'000"/>
        <s v="&gt;10'000'000"/>
        <s v="100'001-1'000'000"/>
        <s v="negative"/>
        <s v="1'001-10'000"/>
        <s v="gain" u="1"/>
        <s v="gain(neg.cost)" u="1"/>
        <s v="4_ten" u="1"/>
        <s v="2_zero" u="1"/>
        <s v="0" u="1"/>
        <s v="5_hundred" u="1"/>
        <s v="null" u="1"/>
      </sharedItems>
    </cacheField>
    <cacheField name="EACFullCost2012" numFmtId="3">
      <sharedItems containsSemiMixedTypes="0" containsString="0" containsNumber="1" containsInteger="1" minValue="-10" maxValue="10000000"/>
    </cacheField>
    <cacheField name="Bin2012" numFmtId="3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">
  <r>
    <x v="0"/>
    <x v="0"/>
    <n v="10000000"/>
    <x v="0"/>
    <n v="1000"/>
    <x v="0"/>
    <n v="1"/>
    <x v="0"/>
    <n v="10"/>
    <x v="0"/>
    <n v="1"/>
    <x v="0"/>
    <n v="20001012"/>
    <x v="0"/>
  </r>
  <r>
    <x v="1"/>
    <x v="1"/>
    <n v="100000"/>
    <x v="1"/>
    <n v="10"/>
    <x v="0"/>
    <n v="10"/>
    <x v="0"/>
    <n v="10"/>
    <x v="0"/>
    <n v="10"/>
    <x v="0"/>
    <n v="10100040"/>
    <x v="0"/>
  </r>
  <r>
    <x v="2"/>
    <x v="2"/>
    <n v="10000"/>
    <x v="2"/>
    <n v="0"/>
    <x v="1"/>
    <n v="1000"/>
    <x v="0"/>
    <n v="1"/>
    <x v="0"/>
    <n v="0"/>
    <x v="1"/>
    <n v="10011001"/>
    <x v="0"/>
  </r>
  <r>
    <x v="3"/>
    <x v="0"/>
    <n v="1000"/>
    <x v="3"/>
    <n v="100000"/>
    <x v="2"/>
    <n v="100"/>
    <x v="0"/>
    <n v="100"/>
    <x v="0"/>
    <n v="-100000"/>
    <x v="2"/>
    <n v="10001200"/>
    <x v="0"/>
  </r>
  <r>
    <x v="4"/>
    <x v="0"/>
    <n v="100"/>
    <x v="3"/>
    <n v="100000000"/>
    <x v="3"/>
    <n v="10"/>
    <x v="0"/>
    <n v="100"/>
    <x v="0"/>
    <n v="0"/>
    <x v="1"/>
    <n v="110000210"/>
    <x v="0"/>
  </r>
  <r>
    <x v="5"/>
    <x v="0"/>
    <n v="1000"/>
    <x v="3"/>
    <n v="0"/>
    <x v="1"/>
    <n v="100000"/>
    <x v="1"/>
    <n v="1000"/>
    <x v="0"/>
    <n v="100000"/>
    <x v="3"/>
    <n v="10202000"/>
    <x v="0"/>
  </r>
  <r>
    <x v="6"/>
    <x v="1"/>
    <n v="1"/>
    <x v="3"/>
    <n v="100000"/>
    <x v="2"/>
    <n v="100"/>
    <x v="0"/>
    <n v="10"/>
    <x v="0"/>
    <n v="1000000"/>
    <x v="4"/>
    <n v="11100111"/>
    <x v="0"/>
  </r>
  <r>
    <x v="7"/>
    <x v="3"/>
    <n v="10"/>
    <x v="3"/>
    <n v="1000000"/>
    <x v="4"/>
    <n v="0"/>
    <x v="2"/>
    <n v="-10000"/>
    <x v="1"/>
    <n v="100"/>
    <x v="0"/>
    <n v="10990110"/>
    <x v="0"/>
  </r>
  <r>
    <x v="8"/>
    <x v="3"/>
    <n v="100"/>
    <x v="3"/>
    <n v="100"/>
    <x v="0"/>
    <n v="100000"/>
    <x v="1"/>
    <n v="1"/>
    <x v="0"/>
    <n v="1"/>
    <x v="0"/>
    <n v="10100202"/>
    <x v="0"/>
  </r>
  <r>
    <x v="9"/>
    <x v="2"/>
    <n v="100"/>
    <x v="3"/>
    <n v="1"/>
    <x v="0"/>
    <n v="1000000"/>
    <x v="3"/>
    <n v="100000000"/>
    <x v="2"/>
    <n v="1"/>
    <x v="0"/>
    <n v="111000102"/>
    <x v="0"/>
  </r>
  <r>
    <x v="10"/>
    <x v="2"/>
    <n v="1000"/>
    <x v="3"/>
    <n v="-1000"/>
    <x v="5"/>
    <n v="100"/>
    <x v="0"/>
    <n v="1000000"/>
    <x v="3"/>
    <n v="10000000"/>
    <x v="5"/>
    <n v="21000100"/>
    <x v="0"/>
  </r>
  <r>
    <x v="11"/>
    <x v="2"/>
    <n v="100000000"/>
    <x v="4"/>
    <n v="0"/>
    <x v="1"/>
    <n v="1"/>
    <x v="0"/>
    <n v="100000"/>
    <x v="4"/>
    <n v="1000"/>
    <x v="0"/>
    <n v="110101001"/>
    <x v="0"/>
  </r>
  <r>
    <x v="12"/>
    <x v="0"/>
    <n v="10000"/>
    <x v="2"/>
    <n v="10000"/>
    <x v="6"/>
    <n v="10"/>
    <x v="0"/>
    <n v="1000000"/>
    <x v="3"/>
    <n v="100"/>
    <x v="0"/>
    <n v="11020110"/>
    <x v="0"/>
  </r>
  <r>
    <x v="13"/>
    <x v="4"/>
    <n v="1"/>
    <x v="3"/>
    <n v="10"/>
    <x v="0"/>
    <n v="-10"/>
    <x v="4"/>
    <n v="100"/>
    <x v="0"/>
    <n v="100"/>
    <x v="0"/>
    <n v="10000201"/>
    <x v="0"/>
  </r>
  <r>
    <x v="14"/>
    <x v="1"/>
    <n v="100"/>
    <x v="3"/>
    <n v="10"/>
    <x v="0"/>
    <n v="100"/>
    <x v="0"/>
    <n v="1"/>
    <x v="0"/>
    <n v="100"/>
    <x v="0"/>
    <n v="10000311"/>
    <x v="0"/>
  </r>
  <r>
    <x v="15"/>
    <x v="3"/>
    <n v="1"/>
    <x v="3"/>
    <n v="100000"/>
    <x v="2"/>
    <n v="1000"/>
    <x v="0"/>
    <n v="10000000"/>
    <x v="5"/>
    <n v="1000"/>
    <x v="0"/>
    <n v="20102001"/>
    <x v="0"/>
  </r>
  <r>
    <x v="16"/>
    <x v="0"/>
    <n v="0"/>
    <x v="5"/>
    <n v="10"/>
    <x v="0"/>
    <n v="1"/>
    <x v="0"/>
    <n v="1"/>
    <x v="0"/>
    <n v="0"/>
    <x v="1"/>
    <n v="10000012"/>
    <x v="0"/>
  </r>
  <r>
    <x v="17"/>
    <x v="4"/>
    <n v="-100"/>
    <x v="6"/>
    <n v="10"/>
    <x v="0"/>
    <n v="10000000"/>
    <x v="5"/>
    <n v="10"/>
    <x v="0"/>
    <n v="10"/>
    <x v="0"/>
    <n v="19999930"/>
    <x v="0"/>
  </r>
  <r>
    <x v="18"/>
    <x v="1"/>
    <n v="1"/>
    <x v="3"/>
    <n v="1"/>
    <x v="0"/>
    <n v="0"/>
    <x v="2"/>
    <n v="1000"/>
    <x v="0"/>
    <n v="10"/>
    <x v="0"/>
    <n v="10001012"/>
    <x v="0"/>
  </r>
  <r>
    <x v="19"/>
    <x v="4"/>
    <n v="10"/>
    <x v="3"/>
    <n v="1000"/>
    <x v="0"/>
    <n v="0"/>
    <x v="2"/>
    <n v="100"/>
    <x v="0"/>
    <n v="1"/>
    <x v="0"/>
    <n v="10001111"/>
    <x v="0"/>
  </r>
  <r>
    <x v="20"/>
    <x v="3"/>
    <n v="0"/>
    <x v="5"/>
    <n v="0"/>
    <x v="1"/>
    <n v="10"/>
    <x v="0"/>
    <n v="1000"/>
    <x v="0"/>
    <n v="10000"/>
    <x v="6"/>
    <n v="1001101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x v="0"/>
    <n v="10000000"/>
    <s v="1'000'001-10'000'000"/>
    <n v="1000"/>
    <x v="0"/>
    <n v="1"/>
    <s v="1-1000"/>
  </r>
  <r>
    <x v="1"/>
    <x v="1"/>
    <n v="100000"/>
    <s v="10'001-100'000"/>
    <n v="10"/>
    <x v="0"/>
    <n v="10"/>
    <s v="1-1000"/>
  </r>
  <r>
    <x v="2"/>
    <x v="2"/>
    <n v="10000"/>
    <s v="1'001-10'000"/>
    <n v="0"/>
    <x v="1"/>
    <n v="1000"/>
    <s v="1-1000"/>
  </r>
  <r>
    <x v="3"/>
    <x v="0"/>
    <n v="1000"/>
    <s v="1-1000"/>
    <n v="100000"/>
    <x v="2"/>
    <n v="100"/>
    <s v="1-1000"/>
  </r>
  <r>
    <x v="4"/>
    <x v="0"/>
    <n v="100"/>
    <s v="1-1000"/>
    <n v="100000000"/>
    <x v="3"/>
    <n v="10"/>
    <s v="1-1000"/>
  </r>
  <r>
    <x v="5"/>
    <x v="0"/>
    <n v="1000"/>
    <s v="1-1000"/>
    <n v="0"/>
    <x v="1"/>
    <n v="100000"/>
    <s v="10'001-100'000"/>
  </r>
  <r>
    <x v="6"/>
    <x v="1"/>
    <n v="1"/>
    <s v="1-1000"/>
    <n v="100000"/>
    <x v="2"/>
    <n v="100"/>
    <s v="1-1000"/>
  </r>
  <r>
    <x v="7"/>
    <x v="3"/>
    <n v="10"/>
    <s v="1-1000"/>
    <n v="1000000"/>
    <x v="4"/>
    <n v="0"/>
    <s v="zero"/>
  </r>
  <r>
    <x v="8"/>
    <x v="3"/>
    <n v="100"/>
    <s v="1-1000"/>
    <n v="100"/>
    <x v="0"/>
    <n v="100000"/>
    <s v="10'001-100'000"/>
  </r>
  <r>
    <x v="9"/>
    <x v="2"/>
    <n v="100"/>
    <s v="1-1000"/>
    <n v="1"/>
    <x v="0"/>
    <n v="1000000"/>
    <s v="100'001-1'000'000"/>
  </r>
  <r>
    <x v="10"/>
    <x v="2"/>
    <n v="1000"/>
    <s v="1-1000"/>
    <n v="-1000"/>
    <x v="5"/>
    <n v="100"/>
    <s v="1-1000"/>
  </r>
  <r>
    <x v="11"/>
    <x v="2"/>
    <n v="100000000"/>
    <s v="&gt;10'000'000"/>
    <n v="0"/>
    <x v="1"/>
    <n v="1"/>
    <s v="1-1000"/>
  </r>
  <r>
    <x v="12"/>
    <x v="0"/>
    <n v="10000"/>
    <s v="1'001-10'000"/>
    <n v="10000"/>
    <x v="6"/>
    <n v="10"/>
    <s v="1-1000"/>
  </r>
  <r>
    <x v="13"/>
    <x v="4"/>
    <n v="1"/>
    <s v="1-1000"/>
    <n v="10"/>
    <x v="0"/>
    <n v="-10"/>
    <s v="negative"/>
  </r>
  <r>
    <x v="14"/>
    <x v="1"/>
    <n v="100"/>
    <s v="1-1000"/>
    <n v="10"/>
    <x v="0"/>
    <n v="100"/>
    <s v="1-1000"/>
  </r>
  <r>
    <x v="15"/>
    <x v="3"/>
    <n v="1"/>
    <s v="1-1000"/>
    <n v="100000"/>
    <x v="2"/>
    <n v="1000"/>
    <s v="1-1000"/>
  </r>
  <r>
    <x v="16"/>
    <x v="0"/>
    <n v="0"/>
    <s v="zero"/>
    <n v="10"/>
    <x v="0"/>
    <n v="1"/>
    <s v="1-1000"/>
  </r>
  <r>
    <x v="17"/>
    <x v="4"/>
    <n v="-100"/>
    <s v="negative"/>
    <n v="10"/>
    <x v="0"/>
    <n v="10000000"/>
    <s v="1'000'001-10'000'000"/>
  </r>
  <r>
    <x v="18"/>
    <x v="1"/>
    <n v="1"/>
    <s v="1-1000"/>
    <n v="1"/>
    <x v="0"/>
    <n v="0"/>
    <s v="zero"/>
  </r>
  <r>
    <x v="19"/>
    <x v="4"/>
    <n v="10"/>
    <s v="1-1000"/>
    <n v="1000"/>
    <x v="0"/>
    <n v="0"/>
    <s v="zero"/>
  </r>
  <r>
    <x v="20"/>
    <x v="3"/>
    <n v="0"/>
    <s v="zero"/>
    <n v="0"/>
    <x v="1"/>
    <n v="10"/>
    <s v="1-1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6" applyNumberFormats="0" applyBorderFormats="0" applyFontFormats="0" applyPatternFormats="0" applyAlignmentFormats="0" applyWidthHeightFormats="1" dataCaption="Werte" showMissing="0" updatedVersion="3" minRefreshableVersion="3" showCalcMbrs="0" useAutoFormatting="1" itemPrintTitles="1" createdVersion="3" indent="0" showHeaders="0" compact="0" compactData="0" multipleFieldFilters="0" chartFormat="4" fieldListSortAscending="1" customListSort="0">
  <location ref="AM16:AU23" firstHeaderRow="1" firstDataRow="2" firstDataCol="1"/>
  <pivotFields count="14">
    <pivotField axis="axisRow" compact="0" outline="0" showAll="0">
      <items count="22">
        <item x="6"/>
        <item x="3"/>
        <item x="9"/>
        <item x="18"/>
        <item x="14"/>
        <item x="16"/>
        <item x="4"/>
        <item x="10"/>
        <item x="13"/>
        <item x="12"/>
        <item x="17"/>
        <item x="20"/>
        <item x="19"/>
        <item x="7"/>
        <item x="15"/>
        <item x="5"/>
        <item x="1"/>
        <item x="2"/>
        <item x="8"/>
        <item x="11"/>
        <item x="0"/>
        <item t="default"/>
      </items>
    </pivotField>
    <pivotField axis="axisRow" showAll="0">
      <items count="6">
        <item sd="0" x="0"/>
        <item sd="0" x="4"/>
        <item sd="0" x="1"/>
        <item sd="0" x="2"/>
        <item sd="0" x="3"/>
        <item t="default" sd="0"/>
      </items>
    </pivotField>
    <pivotField compact="0" outline="0" showAll="0"/>
    <pivotField compact="0" outline="0" showAll="0" sortType="descending">
      <items count="8">
        <item x="5"/>
        <item x="6"/>
        <item x="3"/>
        <item x="2"/>
        <item x="1"/>
        <item x="0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dataField="1" compact="0" outline="0" showAll="0" sortType="descending">
      <items count="8">
        <item x="1"/>
        <item x="2"/>
        <item x="0"/>
        <item x="6"/>
        <item x="3"/>
        <item x="4"/>
        <item x="5"/>
        <item t="default"/>
      </items>
    </pivotField>
    <pivotField compact="0" outline="0" showAll="0"/>
    <pivotField compact="0" outline="0" showAll="0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nzahl von Bin2014" fld="11" subtotal="count" baseField="0" baseItem="0"/>
  </dataFields>
  <formats count="1">
    <format dxfId="5">
      <pivotArea type="all" dataOnly="0" outline="0" fieldPosition="0"/>
    </format>
  </formats>
  <chartFormats count="7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5" cacheId="6" applyNumberFormats="0" applyBorderFormats="0" applyFontFormats="0" applyPatternFormats="0" applyAlignmentFormats="0" applyWidthHeightFormats="1" dataCaption="Werte" showMissing="0" updatedVersion="3" minRefreshableVersion="3" showCalcMbrs="0" useAutoFormatting="1" itemPrintTitles="1" createdVersion="3" indent="0" showHeaders="0" outline="1" outlineData="1" multipleFieldFilters="0" chartFormat="4" fieldListSortAscending="1">
  <location ref="AW16:AY23" firstHeaderRow="1" firstDataRow="2" firstDataCol="1"/>
  <pivotFields count="14">
    <pivotField axis="axisRow" showAll="0">
      <items count="22">
        <item x="6"/>
        <item x="3"/>
        <item x="9"/>
        <item x="18"/>
        <item x="14"/>
        <item x="16"/>
        <item x="4"/>
        <item x="10"/>
        <item x="13"/>
        <item x="12"/>
        <item x="17"/>
        <item x="20"/>
        <item x="19"/>
        <item x="7"/>
        <item x="15"/>
        <item x="5"/>
        <item x="1"/>
        <item x="2"/>
        <item x="8"/>
        <item x="11"/>
        <item x="0"/>
        <item t="default"/>
      </items>
    </pivotField>
    <pivotField axis="axisRow" showAll="0">
      <items count="6">
        <item sd="0" x="0"/>
        <item sd="0" x="4"/>
        <item sd="0" x="1"/>
        <item sd="0" x="2"/>
        <item sd="0" x="3"/>
        <item t="default" sd="0"/>
      </items>
    </pivotField>
    <pivotField numFmtId="3" showAll="0"/>
    <pivotField showAll="0"/>
    <pivotField numFmtId="3" showAll="0"/>
    <pivotField showAll="0" sortType="descending">
      <items count="8">
        <item x="1"/>
        <item x="5"/>
        <item x="0"/>
        <item x="6"/>
        <item x="2"/>
        <item x="4"/>
        <item x="3"/>
        <item t="default"/>
      </items>
    </pivotField>
    <pivotField numFmtId="3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dataField="1" showAll="0" sortType="descending" defaultSubtotal="0">
      <items count="1">
        <item x="0"/>
      </items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3"/>
  </colFields>
  <colItems count="2">
    <i>
      <x/>
    </i>
    <i t="grand">
      <x/>
    </i>
  </colItems>
  <dataFields count="1">
    <dataField name="Anzahl von BinFull" fld="13" subtotal="count" baseField="0" baseItem="0"/>
  </dataFields>
  <formats count="1">
    <format dxfId="4">
      <pivotArea type="all" dataOnly="0" outline="0" fieldPosition="0"/>
    </format>
  </formats>
  <chartFormats count="1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6" applyNumberFormats="0" applyBorderFormats="0" applyFontFormats="0" applyPatternFormats="0" applyAlignmentFormats="0" applyWidthHeightFormats="1" dataCaption="Werte" showMissing="0" updatedVersion="3" minRefreshableVersion="3" showCalcMbrs="0" useAutoFormatting="1" itemPrintTitles="1" createdVersion="3" indent="0" showHeaders="0" compact="0" compactData="0" multipleFieldFilters="0" chartFormat="4" fieldListSortAscending="1" customListSort="0">
  <location ref="U16:AB23" firstHeaderRow="1" firstDataRow="2" firstDataCol="1"/>
  <pivotFields count="14">
    <pivotField axis="axisRow" compact="0" outline="0" showAll="0">
      <items count="22">
        <item x="6"/>
        <item x="3"/>
        <item x="9"/>
        <item x="18"/>
        <item x="14"/>
        <item x="16"/>
        <item x="4"/>
        <item x="10"/>
        <item x="13"/>
        <item x="12"/>
        <item x="17"/>
        <item x="20"/>
        <item x="19"/>
        <item x="7"/>
        <item x="15"/>
        <item x="5"/>
        <item x="1"/>
        <item x="2"/>
        <item x="8"/>
        <item x="11"/>
        <item x="0"/>
        <item t="default"/>
      </items>
    </pivotField>
    <pivotField axis="axisRow" showAll="0">
      <items count="6">
        <item sd="0" x="0"/>
        <item sd="0" x="4"/>
        <item sd="0" x="1"/>
        <item sd="0" x="2"/>
        <item sd="0" x="3"/>
        <item t="default" sd="0"/>
      </items>
    </pivotField>
    <pivotField compact="0" outline="0" showAll="0"/>
    <pivotField compact="0" outline="0" showAll="0" sortType="descending">
      <items count="8">
        <item x="5"/>
        <item x="6"/>
        <item x="3"/>
        <item x="2"/>
        <item x="1"/>
        <item x="0"/>
        <item x="4"/>
        <item t="default"/>
      </items>
    </pivotField>
    <pivotField compact="0" outline="0" showAll="0"/>
    <pivotField compact="0" outline="0" showAll="0"/>
    <pivotField compact="0" outline="0" showAll="0"/>
    <pivotField axis="axisCol" dataField="1" compact="0" outline="0" showAll="0" sortType="descending">
      <items count="7">
        <item x="2"/>
        <item x="4"/>
        <item x="0"/>
        <item x="1"/>
        <item x="3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7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Anzahl von Bin2012" fld="7" subtotal="count" baseField="0" baseItem="0"/>
  </dataFields>
  <formats count="1">
    <format dxfId="3">
      <pivotArea type="all" dataOnly="0" outline="0" fieldPosition="0"/>
    </format>
  </formats>
  <chartFormats count="6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Werte" showMissing="0" updatedVersion="3" minRefreshableVersion="3" showCalcMbrs="0" useAutoFormatting="1" itemPrintTitles="1" createdVersion="3" indent="0" showHeaders="0" outline="1" outlineData="1" multipleFieldFilters="0" chartFormat="4" fieldListSortAscending="1">
  <location ref="AD16:AK23" firstHeaderRow="1" firstDataRow="2" firstDataCol="1"/>
  <pivotFields count="14">
    <pivotField axis="axisRow" showAll="0">
      <items count="22">
        <item x="6"/>
        <item x="3"/>
        <item x="9"/>
        <item x="18"/>
        <item x="14"/>
        <item x="16"/>
        <item x="4"/>
        <item x="10"/>
        <item x="13"/>
        <item x="12"/>
        <item x="17"/>
        <item x="20"/>
        <item x="19"/>
        <item x="7"/>
        <item x="15"/>
        <item x="5"/>
        <item x="1"/>
        <item x="2"/>
        <item x="8"/>
        <item x="11"/>
        <item x="0"/>
        <item t="default"/>
      </items>
    </pivotField>
    <pivotField axis="axisRow" showAll="0">
      <items count="6">
        <item sd="0" x="0"/>
        <item sd="0" x="4"/>
        <item sd="0" x="1"/>
        <item sd="0" x="2"/>
        <item sd="0" x="3"/>
        <item t="default" sd="0"/>
      </items>
    </pivotField>
    <pivotField numFmtId="3" showAll="0"/>
    <pivotField showAll="0"/>
    <pivotField numFmtId="3" showAll="0"/>
    <pivotField showAll="0" sortType="descending"/>
    <pivotField numFmtId="3" showAll="0"/>
    <pivotField showAll="0"/>
    <pivotField showAll="0" defaultSubtotal="0"/>
    <pivotField axis="axisCol" dataField="1" showAll="0" sortType="descending" defaultSubtotal="0">
      <items count="6">
        <item x="1"/>
        <item x="0"/>
        <item x="4"/>
        <item x="3"/>
        <item x="5"/>
        <item x="2"/>
      </items>
    </pivotField>
    <pivotField showAll="0" defaultSubtotal="0"/>
    <pivotField showAll="0" defaultSubtotal="0"/>
    <pivotField showAll="0" defaultSubtotal="0"/>
    <pivotField showAll="0" defaultSubtotal="0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Anzahl von Bin2013" fld="9" subtotal="count" baseField="0" baseItem="0"/>
  </dataFields>
  <formats count="1">
    <format dxfId="2">
      <pivotArea type="all" dataOnly="0" outline="0" fieldPosition="0"/>
    </format>
  </formats>
  <chartFormats count="6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Werte" showMissing="0" updatedVersion="3" minRefreshableVersion="3" showCalcMbrs="0" useAutoFormatting="1" itemPrintTitles="1" createdVersion="3" indent="0" showHeaders="0" outline="1" outlineData="1" multipleFieldFilters="0" chartFormat="5" fieldListSortAscending="1">
  <location ref="K16:S23" firstHeaderRow="1" firstDataRow="2" firstDataCol="1"/>
  <pivotFields count="8">
    <pivotField axis="axisRow" showAll="0">
      <items count="22">
        <item x="6"/>
        <item x="3"/>
        <item x="9"/>
        <item x="18"/>
        <item x="14"/>
        <item x="16"/>
        <item x="4"/>
        <item x="10"/>
        <item x="13"/>
        <item x="12"/>
        <item x="17"/>
        <item x="20"/>
        <item x="19"/>
        <item x="7"/>
        <item x="15"/>
        <item x="5"/>
        <item x="1"/>
        <item x="2"/>
        <item x="8"/>
        <item x="11"/>
        <item x="0"/>
        <item t="default"/>
      </items>
    </pivotField>
    <pivotField axis="axisRow" showAll="0">
      <items count="6">
        <item sd="0" x="0"/>
        <item sd="0" x="4"/>
        <item sd="0" x="1"/>
        <item sd="0" x="2"/>
        <item sd="0" x="3"/>
        <item t="default" sd="0"/>
      </items>
    </pivotField>
    <pivotField numFmtId="3" showAll="0"/>
    <pivotField showAll="0"/>
    <pivotField numFmtId="3" showAll="0"/>
    <pivotField axis="axisCol" dataField="1" showAll="0" sortType="descending">
      <items count="15">
        <item x="1"/>
        <item m="1" x="13"/>
        <item x="5"/>
        <item m="1" x="8"/>
        <item m="1" x="7"/>
        <item m="1" x="12"/>
        <item m="1" x="9"/>
        <item m="1" x="10"/>
        <item x="0"/>
        <item x="6"/>
        <item x="2"/>
        <item x="4"/>
        <item m="1" x="11"/>
        <item x="3"/>
        <item t="default"/>
      </items>
    </pivotField>
    <pivotField numFmtId="3" showAll="0"/>
    <pivotField showAll="0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5"/>
  </colFields>
  <colItems count="8">
    <i>
      <x/>
    </i>
    <i>
      <x v="2"/>
    </i>
    <i>
      <x v="8"/>
    </i>
    <i>
      <x v="9"/>
    </i>
    <i>
      <x v="10"/>
    </i>
    <i>
      <x v="11"/>
    </i>
    <i>
      <x v="13"/>
    </i>
    <i t="grand">
      <x/>
    </i>
  </colItems>
  <dataFields count="1">
    <dataField name="Anzahl von Bin2011" fld="5" subtotal="count" baseField="0" baseItem="0"/>
  </dataFields>
  <formats count="1">
    <format dxfId="1">
      <pivotArea type="all" dataOnly="0" outline="0" fieldPosition="0"/>
    </format>
  </formats>
  <chartFormats count="7"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4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4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4" format="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Werte" showMissing="0" updatedVersion="3" minRefreshableVersion="3" showCalcMbrs="0" useAutoFormatting="1" itemPrintTitles="1" createdVersion="3" indent="0" showHeaders="0" compact="0" compactData="0" multipleFieldFilters="0" chartFormat="5" fieldListSortAscending="1" customListSort="0">
  <location ref="A16:I23" firstHeaderRow="1" firstDataRow="2" firstDataCol="1"/>
  <pivotFields count="14">
    <pivotField axis="axisRow" compact="0" outline="0" showAll="0">
      <items count="22">
        <item x="6"/>
        <item x="3"/>
        <item x="9"/>
        <item x="18"/>
        <item x="14"/>
        <item x="16"/>
        <item x="4"/>
        <item x="10"/>
        <item x="13"/>
        <item x="12"/>
        <item x="17"/>
        <item x="20"/>
        <item x="19"/>
        <item x="7"/>
        <item x="15"/>
        <item x="5"/>
        <item x="1"/>
        <item x="2"/>
        <item x="8"/>
        <item x="11"/>
        <item x="0"/>
        <item t="default"/>
      </items>
    </pivotField>
    <pivotField axis="axisRow" showAll="0">
      <items count="6">
        <item sd="0" x="0"/>
        <item sd="0" x="4"/>
        <item sd="0" x="1"/>
        <item sd="0" x="2"/>
        <item sd="0" x="3"/>
        <item t="default" sd="0"/>
      </items>
    </pivotField>
    <pivotField compact="0" outline="0" showAll="0"/>
    <pivotField axis="axisCol" dataField="1" compact="0" outline="0" showAll="0" sortType="descending">
      <items count="8">
        <item x="5"/>
        <item x="6"/>
        <item x="3"/>
        <item x="2"/>
        <item x="1"/>
        <item x="0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nzahl von Bin2010" fld="3" subtotal="count" baseField="0" baseItem="0"/>
  </dataFields>
  <formats count="1">
    <format dxfId="0">
      <pivotArea type="all" dataOnly="0" outline="0" fieldPosition="0"/>
    </format>
  </formats>
  <chartFormats count="7">
    <chartFormat chart="4" format="6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6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6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6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4" format="6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4" format="6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4" format="6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H23"/>
  <sheetViews>
    <sheetView workbookViewId="0">
      <selection activeCell="F12" sqref="F12"/>
    </sheetView>
  </sheetViews>
  <sheetFormatPr baseColWidth="10" defaultRowHeight="15"/>
  <cols>
    <col min="1" max="2" width="11.42578125" style="1"/>
    <col min="3" max="8" width="15.5703125" style="3" bestFit="1" customWidth="1"/>
  </cols>
  <sheetData>
    <row r="1" spans="1:8">
      <c r="A1" s="1" t="s">
        <v>33</v>
      </c>
      <c r="B1" s="1" t="s">
        <v>32</v>
      </c>
      <c r="C1" s="3" t="s">
        <v>31</v>
      </c>
      <c r="D1" s="3" t="s">
        <v>30</v>
      </c>
      <c r="E1" s="3" t="s">
        <v>29</v>
      </c>
      <c r="F1" s="3" t="s">
        <v>28</v>
      </c>
      <c r="G1" s="3" t="s">
        <v>27</v>
      </c>
      <c r="H1" s="3" t="s">
        <v>26</v>
      </c>
    </row>
    <row r="3" spans="1:8">
      <c r="A3" s="1" t="s">
        <v>25</v>
      </c>
      <c r="B3" s="1" t="s">
        <v>7</v>
      </c>
      <c r="C3" s="3">
        <v>10000000</v>
      </c>
      <c r="D3" s="3">
        <v>1000</v>
      </c>
      <c r="E3" s="3">
        <v>1</v>
      </c>
      <c r="F3" s="3">
        <v>10</v>
      </c>
      <c r="G3" s="3">
        <v>1</v>
      </c>
      <c r="H3" s="3">
        <f>SUM(C3:G3)+10000000</f>
        <v>20001012</v>
      </c>
    </row>
    <row r="4" spans="1:8">
      <c r="A4" s="1" t="s">
        <v>24</v>
      </c>
      <c r="B4" s="1" t="s">
        <v>0</v>
      </c>
      <c r="C4" s="3">
        <v>100000</v>
      </c>
      <c r="D4" s="3">
        <v>10</v>
      </c>
      <c r="E4" s="3">
        <v>10</v>
      </c>
      <c r="F4" s="3">
        <v>10</v>
      </c>
      <c r="G4" s="3">
        <v>10</v>
      </c>
      <c r="H4" s="3">
        <f t="shared" ref="H4:H23" si="0">SUM(C4:G4)+10000000</f>
        <v>10100040</v>
      </c>
    </row>
    <row r="5" spans="1:8">
      <c r="A5" s="1" t="s">
        <v>23</v>
      </c>
      <c r="B5" s="1" t="s">
        <v>2</v>
      </c>
      <c r="C5" s="3">
        <v>10000</v>
      </c>
      <c r="D5" s="3">
        <v>0</v>
      </c>
      <c r="E5" s="3">
        <v>1000</v>
      </c>
      <c r="F5" s="3">
        <v>1</v>
      </c>
      <c r="G5" s="3">
        <v>0</v>
      </c>
      <c r="H5" s="3">
        <f t="shared" si="0"/>
        <v>10011001</v>
      </c>
    </row>
    <row r="6" spans="1:8">
      <c r="A6" s="1" t="s">
        <v>22</v>
      </c>
      <c r="B6" s="1" t="s">
        <v>7</v>
      </c>
      <c r="C6" s="3">
        <v>1000</v>
      </c>
      <c r="D6" s="3">
        <v>100000</v>
      </c>
      <c r="E6" s="3">
        <v>100</v>
      </c>
      <c r="F6" s="3">
        <v>100</v>
      </c>
      <c r="G6" s="3">
        <v>-100000</v>
      </c>
      <c r="H6" s="3">
        <f t="shared" si="0"/>
        <v>10001200</v>
      </c>
    </row>
    <row r="7" spans="1:8">
      <c r="A7" s="1" t="s">
        <v>21</v>
      </c>
      <c r="B7" s="1" t="s">
        <v>7</v>
      </c>
      <c r="C7" s="3">
        <v>100</v>
      </c>
      <c r="D7" s="3">
        <v>100000000</v>
      </c>
      <c r="E7" s="3">
        <v>10</v>
      </c>
      <c r="F7" s="3">
        <v>100</v>
      </c>
      <c r="G7" s="3">
        <v>0</v>
      </c>
      <c r="H7" s="3">
        <f t="shared" si="0"/>
        <v>110000210</v>
      </c>
    </row>
    <row r="8" spans="1:8">
      <c r="A8" s="1" t="s">
        <v>20</v>
      </c>
      <c r="B8" s="1" t="s">
        <v>0</v>
      </c>
      <c r="C8" s="3">
        <v>1000</v>
      </c>
      <c r="D8" s="3">
        <v>0</v>
      </c>
      <c r="E8" s="3">
        <v>100000</v>
      </c>
      <c r="F8" s="3">
        <v>1000</v>
      </c>
      <c r="G8" s="3">
        <v>100000</v>
      </c>
      <c r="H8" s="3">
        <f t="shared" si="0"/>
        <v>10202000</v>
      </c>
    </row>
    <row r="9" spans="1:8">
      <c r="A9" s="1" t="s">
        <v>19</v>
      </c>
      <c r="B9" s="1" t="s">
        <v>0</v>
      </c>
      <c r="C9" s="3">
        <v>1</v>
      </c>
      <c r="D9" s="3">
        <v>100000</v>
      </c>
      <c r="E9" s="3">
        <v>100</v>
      </c>
      <c r="F9" s="3">
        <v>10</v>
      </c>
      <c r="G9" s="3">
        <v>1000000</v>
      </c>
      <c r="H9" s="3">
        <f t="shared" si="0"/>
        <v>11100111</v>
      </c>
    </row>
    <row r="10" spans="1:8">
      <c r="A10" s="1" t="s">
        <v>18</v>
      </c>
      <c r="B10" s="1" t="s">
        <v>2</v>
      </c>
      <c r="C10" s="3">
        <v>10</v>
      </c>
      <c r="D10" s="3">
        <v>1000000</v>
      </c>
      <c r="E10" s="3">
        <v>0</v>
      </c>
      <c r="F10" s="3">
        <v>-10000</v>
      </c>
      <c r="G10" s="3">
        <v>100</v>
      </c>
      <c r="H10" s="3">
        <f t="shared" si="0"/>
        <v>10990110</v>
      </c>
    </row>
    <row r="11" spans="1:8">
      <c r="A11" s="1" t="s">
        <v>17</v>
      </c>
      <c r="B11" s="1" t="s">
        <v>12</v>
      </c>
      <c r="C11" s="3">
        <v>100</v>
      </c>
      <c r="D11" s="3">
        <v>100</v>
      </c>
      <c r="E11" s="3">
        <v>100000</v>
      </c>
      <c r="F11" s="3">
        <v>1</v>
      </c>
      <c r="G11" s="3">
        <v>1</v>
      </c>
      <c r="H11" s="3">
        <f t="shared" si="0"/>
        <v>10100202</v>
      </c>
    </row>
    <row r="12" spans="1:8">
      <c r="A12" s="1" t="s">
        <v>16</v>
      </c>
      <c r="B12" s="1" t="s">
        <v>0</v>
      </c>
      <c r="C12" s="3">
        <v>100</v>
      </c>
      <c r="D12" s="3">
        <v>1</v>
      </c>
      <c r="E12" s="3">
        <v>1000000</v>
      </c>
      <c r="F12" s="3">
        <v>100000000</v>
      </c>
      <c r="G12" s="3">
        <v>1</v>
      </c>
      <c r="H12" s="3">
        <f t="shared" si="0"/>
        <v>111000102</v>
      </c>
    </row>
    <row r="13" spans="1:8">
      <c r="A13" s="1" t="s">
        <v>15</v>
      </c>
      <c r="B13" s="1" t="s">
        <v>12</v>
      </c>
      <c r="C13" s="3">
        <v>1000</v>
      </c>
      <c r="D13" s="3">
        <v>-1000</v>
      </c>
      <c r="E13" s="3">
        <v>100</v>
      </c>
      <c r="F13" s="3">
        <v>1000000</v>
      </c>
      <c r="G13" s="3">
        <v>10000000</v>
      </c>
      <c r="H13" s="3">
        <f t="shared" si="0"/>
        <v>21000100</v>
      </c>
    </row>
    <row r="14" spans="1:8">
      <c r="A14" s="1" t="s">
        <v>14</v>
      </c>
      <c r="B14" s="1" t="s">
        <v>4</v>
      </c>
      <c r="C14" s="3">
        <v>100000000</v>
      </c>
      <c r="D14" s="3">
        <v>0</v>
      </c>
      <c r="E14" s="3">
        <v>1</v>
      </c>
      <c r="F14" s="3">
        <v>100000</v>
      </c>
      <c r="G14" s="3">
        <v>1000</v>
      </c>
      <c r="H14" s="3">
        <f t="shared" si="0"/>
        <v>110101001</v>
      </c>
    </row>
    <row r="15" spans="1:8">
      <c r="A15" s="1" t="s">
        <v>13</v>
      </c>
      <c r="B15" s="1" t="s">
        <v>12</v>
      </c>
      <c r="C15" s="3">
        <v>10000</v>
      </c>
      <c r="D15" s="3">
        <v>10000</v>
      </c>
      <c r="E15" s="3">
        <v>10</v>
      </c>
      <c r="F15" s="3">
        <v>1000000</v>
      </c>
      <c r="G15" s="3">
        <v>100</v>
      </c>
      <c r="H15" s="3">
        <f t="shared" si="0"/>
        <v>11020110</v>
      </c>
    </row>
    <row r="16" spans="1:8">
      <c r="A16" s="1" t="s">
        <v>11</v>
      </c>
      <c r="B16" s="1" t="s">
        <v>4</v>
      </c>
      <c r="C16" s="3">
        <v>1</v>
      </c>
      <c r="D16" s="3">
        <v>10</v>
      </c>
      <c r="E16" s="3">
        <v>-10</v>
      </c>
      <c r="F16" s="3">
        <v>100</v>
      </c>
      <c r="G16" s="3">
        <v>100</v>
      </c>
      <c r="H16" s="3">
        <f t="shared" si="0"/>
        <v>10000201</v>
      </c>
    </row>
    <row r="17" spans="1:8">
      <c r="A17" s="1" t="s">
        <v>10</v>
      </c>
      <c r="B17" s="1" t="s">
        <v>4</v>
      </c>
      <c r="C17" s="3">
        <v>100</v>
      </c>
      <c r="D17" s="3">
        <v>10</v>
      </c>
      <c r="E17" s="3">
        <v>100</v>
      </c>
      <c r="F17" s="3">
        <v>1</v>
      </c>
      <c r="G17" s="3">
        <v>100</v>
      </c>
      <c r="H17" s="3">
        <f t="shared" si="0"/>
        <v>10000311</v>
      </c>
    </row>
    <row r="18" spans="1:8">
      <c r="A18" s="1" t="s">
        <v>9</v>
      </c>
      <c r="B18" s="1" t="s">
        <v>0</v>
      </c>
      <c r="C18" s="3">
        <v>1</v>
      </c>
      <c r="D18" s="3">
        <v>100000</v>
      </c>
      <c r="E18" s="3">
        <v>1000</v>
      </c>
      <c r="F18" s="3">
        <v>10000000</v>
      </c>
      <c r="G18" s="3">
        <v>1000</v>
      </c>
      <c r="H18" s="3">
        <f t="shared" si="0"/>
        <v>20102001</v>
      </c>
    </row>
    <row r="19" spans="1:8">
      <c r="A19" s="1" t="s">
        <v>8</v>
      </c>
      <c r="B19" s="1" t="s">
        <v>7</v>
      </c>
      <c r="C19" s="3">
        <v>0</v>
      </c>
      <c r="D19" s="3">
        <v>10</v>
      </c>
      <c r="E19" s="3">
        <v>1</v>
      </c>
      <c r="F19" s="3">
        <v>1</v>
      </c>
      <c r="G19" s="3">
        <v>0</v>
      </c>
      <c r="H19" s="3">
        <f t="shared" si="0"/>
        <v>10000012</v>
      </c>
    </row>
    <row r="20" spans="1:8">
      <c r="A20" s="1" t="s">
        <v>6</v>
      </c>
      <c r="B20" s="1" t="s">
        <v>2</v>
      </c>
      <c r="C20" s="3">
        <v>-100</v>
      </c>
      <c r="D20" s="3">
        <v>10</v>
      </c>
      <c r="E20" s="3">
        <v>10000000</v>
      </c>
      <c r="F20" s="3">
        <v>10</v>
      </c>
      <c r="G20" s="3">
        <v>10</v>
      </c>
      <c r="H20" s="3">
        <f t="shared" si="0"/>
        <v>19999930</v>
      </c>
    </row>
    <row r="21" spans="1:8">
      <c r="A21" s="1" t="s">
        <v>5</v>
      </c>
      <c r="B21" s="1" t="s">
        <v>4</v>
      </c>
      <c r="C21" s="3">
        <v>1</v>
      </c>
      <c r="D21" s="3">
        <v>1</v>
      </c>
      <c r="E21" s="3">
        <v>0</v>
      </c>
      <c r="F21" s="3">
        <v>1000</v>
      </c>
      <c r="G21" s="3">
        <v>10</v>
      </c>
      <c r="H21" s="3">
        <f t="shared" si="0"/>
        <v>10001012</v>
      </c>
    </row>
    <row r="22" spans="1:8">
      <c r="A22" s="1" t="s">
        <v>3</v>
      </c>
      <c r="B22" s="1" t="s">
        <v>2</v>
      </c>
      <c r="C22" s="3">
        <v>10</v>
      </c>
      <c r="D22" s="3">
        <v>1000</v>
      </c>
      <c r="E22" s="3">
        <v>0</v>
      </c>
      <c r="F22" s="3">
        <v>100</v>
      </c>
      <c r="G22" s="3">
        <v>1</v>
      </c>
      <c r="H22" s="3">
        <f t="shared" si="0"/>
        <v>10001111</v>
      </c>
    </row>
    <row r="23" spans="1:8">
      <c r="A23" s="1" t="s">
        <v>1</v>
      </c>
      <c r="B23" s="1" t="s">
        <v>0</v>
      </c>
      <c r="C23" s="3">
        <v>0</v>
      </c>
      <c r="D23" s="3">
        <v>0</v>
      </c>
      <c r="E23" s="3">
        <v>10</v>
      </c>
      <c r="F23" s="3">
        <v>1000</v>
      </c>
      <c r="G23" s="3">
        <v>10000</v>
      </c>
      <c r="H23" s="3">
        <f t="shared" si="0"/>
        <v>10011010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N23"/>
  <sheetViews>
    <sheetView workbookViewId="0">
      <selection activeCell="H2" sqref="H2"/>
    </sheetView>
  </sheetViews>
  <sheetFormatPr baseColWidth="10" defaultRowHeight="15"/>
  <cols>
    <col min="1" max="2" width="16.85546875" customWidth="1"/>
    <col min="3" max="8" width="16.85546875" style="4" customWidth="1"/>
    <col min="9" max="14" width="16.85546875" customWidth="1"/>
  </cols>
  <sheetData>
    <row r="1" spans="1:14">
      <c r="A1" s="1" t="s">
        <v>33</v>
      </c>
      <c r="B1" s="1" t="s">
        <v>32</v>
      </c>
      <c r="C1" s="3" t="s">
        <v>31</v>
      </c>
      <c r="D1" s="3" t="s">
        <v>34</v>
      </c>
      <c r="E1" s="3" t="s">
        <v>30</v>
      </c>
      <c r="F1" s="3" t="s">
        <v>38</v>
      </c>
      <c r="G1" s="3" t="s">
        <v>29</v>
      </c>
      <c r="H1" s="3" t="s">
        <v>39</v>
      </c>
      <c r="I1" s="1" t="s">
        <v>28</v>
      </c>
      <c r="J1" s="3" t="s">
        <v>81</v>
      </c>
      <c r="K1" s="1" t="s">
        <v>27</v>
      </c>
      <c r="L1" s="3" t="s">
        <v>80</v>
      </c>
      <c r="M1" s="1" t="s">
        <v>26</v>
      </c>
      <c r="N1" s="3" t="s">
        <v>79</v>
      </c>
    </row>
    <row r="2" spans="1:14">
      <c r="A2" s="1" t="s">
        <v>1</v>
      </c>
      <c r="B2" s="1" t="s">
        <v>0</v>
      </c>
      <c r="C2" s="3">
        <f>Source!C3</f>
        <v>10000000</v>
      </c>
      <c r="D2" s="3" t="str">
        <f t="shared" ref="D2:F22" si="0">IF(C2&lt;-0.1,"negative",IF(C2&lt;=0.1,"zero",IF(C2&lt;=1000,"1-1000",IF(C2&lt;=10000,"1'001-10'000",IF(C2&lt;=100000,"10'001-100'000",IF(C2&lt;=1000000,"100'001-1'000'000",IF(C2&lt;=10000000,"1'000'001-10'000'000","'&gt;10'000'000")))))))</f>
        <v>1'000'001-10'000'000</v>
      </c>
      <c r="E2" s="3">
        <f>Source!D3</f>
        <v>1000</v>
      </c>
      <c r="F2" s="3" t="str">
        <f t="shared" si="0"/>
        <v>1-1000</v>
      </c>
      <c r="G2" s="3">
        <f>Source!E3</f>
        <v>1</v>
      </c>
      <c r="H2" s="3" t="str">
        <f t="shared" ref="H2" si="1">IF(G2&lt;-0.1,"negative",IF(G2&lt;=0.1,"zero",IF(G2&lt;=1000,"1-1000",IF(G2&lt;=10000,"1'001-10'000",IF(G2&lt;=100000,"10'001-100'000",IF(G2&lt;=1000000,"100'001-1'000'000",IF(G2&lt;=10000000,"1'000'001-10'000'000","'&gt;10'000'000")))))))</f>
        <v>1-1000</v>
      </c>
      <c r="I2" s="1">
        <f>Source!F3</f>
        <v>10</v>
      </c>
      <c r="J2" s="3" t="str">
        <f t="shared" ref="J2" si="2">IF(I2&lt;-0.1,"negative",IF(I2&lt;=0.1,"zero",IF(I2&lt;=1000,"1-1000",IF(I2&lt;=10000,"1'001-10'000",IF(I2&lt;=100000,"10'001-100'000",IF(I2&lt;=1000000,"100'001-1'000'000",IF(I2&lt;=10000000,"1'000'001-10'000'000","'&gt;10'000'000")))))))</f>
        <v>1-1000</v>
      </c>
      <c r="K2" s="1">
        <f>Source!G3</f>
        <v>1</v>
      </c>
      <c r="L2" s="3" t="str">
        <f t="shared" ref="L2" si="3">IF(K2&lt;-0.1,"negative",IF(K2&lt;=0.1,"zero",IF(K2&lt;=1000,"1-1000",IF(K2&lt;=10000,"1'001-10'000",IF(K2&lt;=100000,"10'001-100'000",IF(K2&lt;=1000000,"100'001-1'000'000",IF(K2&lt;=10000000,"1'000'001-10'000'000","'&gt;10'000'000")))))))</f>
        <v>1-1000</v>
      </c>
      <c r="M2" s="1">
        <f>Source!H3</f>
        <v>20001012</v>
      </c>
      <c r="N2" s="3" t="str">
        <f t="shared" ref="N2" si="4">IF(M2&lt;-0.1,"negative",IF(M2&lt;=0.1,"zero",IF(M2&lt;=1000,"1-1000",IF(M2&lt;=10000,"1'001-10'000",IF(M2&lt;=100000,"10'001-100'000",IF(M2&lt;=1000000,"100'001-1'000'000",IF(M2&lt;=10000000,"1'000'001-10'000'000","'&gt;10'000'000")))))))</f>
        <v>'&gt;10'000'000</v>
      </c>
    </row>
    <row r="3" spans="1:14">
      <c r="A3" s="1" t="s">
        <v>8</v>
      </c>
      <c r="B3" s="1" t="s">
        <v>7</v>
      </c>
      <c r="C3" s="3">
        <f>Source!C4</f>
        <v>100000</v>
      </c>
      <c r="D3" s="3" t="str">
        <f t="shared" si="0"/>
        <v>10'001-100'000</v>
      </c>
      <c r="E3" s="3">
        <f>Source!D4</f>
        <v>10</v>
      </c>
      <c r="F3" s="3" t="str">
        <f t="shared" si="0"/>
        <v>1-1000</v>
      </c>
      <c r="G3" s="3">
        <f>Source!E4</f>
        <v>10</v>
      </c>
      <c r="H3" s="3" t="str">
        <f t="shared" ref="H3" si="5">IF(G3&lt;-0.1,"negative",IF(G3&lt;=0.1,"zero",IF(G3&lt;=1000,"1-1000",IF(G3&lt;=10000,"1'001-10'000",IF(G3&lt;=100000,"10'001-100'000",IF(G3&lt;=1000000,"100'001-1'000'000",IF(G3&lt;=10000000,"1'000'001-10'000'000","'&gt;10'000'000")))))))</f>
        <v>1-1000</v>
      </c>
      <c r="I3" s="1">
        <f>Source!F4</f>
        <v>10</v>
      </c>
      <c r="J3" s="3" t="str">
        <f t="shared" ref="J3" si="6">IF(I3&lt;-0.1,"negative",IF(I3&lt;=0.1,"zero",IF(I3&lt;=1000,"1-1000",IF(I3&lt;=10000,"1'001-10'000",IF(I3&lt;=100000,"10'001-100'000",IF(I3&lt;=1000000,"100'001-1'000'000",IF(I3&lt;=10000000,"1'000'001-10'000'000","'&gt;10'000'000")))))))</f>
        <v>1-1000</v>
      </c>
      <c r="K3" s="1">
        <f>Source!G4</f>
        <v>10</v>
      </c>
      <c r="L3" s="3" t="str">
        <f t="shared" ref="L3" si="7">IF(K3&lt;-0.1,"negative",IF(K3&lt;=0.1,"zero",IF(K3&lt;=1000,"1-1000",IF(K3&lt;=10000,"1'001-10'000",IF(K3&lt;=100000,"10'001-100'000",IF(K3&lt;=1000000,"100'001-1'000'000",IF(K3&lt;=10000000,"1'000'001-10'000'000","'&gt;10'000'000")))))))</f>
        <v>1-1000</v>
      </c>
      <c r="M3" s="1">
        <f>Source!H4</f>
        <v>10100040</v>
      </c>
      <c r="N3" s="3" t="str">
        <f t="shared" ref="N3" si="8">IF(M3&lt;-0.1,"negative",IF(M3&lt;=0.1,"zero",IF(M3&lt;=1000,"1-1000",IF(M3&lt;=10000,"1'001-10'000",IF(M3&lt;=100000,"10'001-100'000",IF(M3&lt;=1000000,"100'001-1'000'000",IF(M3&lt;=10000000,"1'000'001-10'000'000","'&gt;10'000'000")))))))</f>
        <v>'&gt;10'000'000</v>
      </c>
    </row>
    <row r="4" spans="1:14">
      <c r="A4" s="1" t="s">
        <v>6</v>
      </c>
      <c r="B4" s="1" t="s">
        <v>2</v>
      </c>
      <c r="C4" s="3">
        <f>Source!C5</f>
        <v>10000</v>
      </c>
      <c r="D4" s="3" t="str">
        <f t="shared" si="0"/>
        <v>1'001-10'000</v>
      </c>
      <c r="E4" s="3">
        <f>Source!D5</f>
        <v>0</v>
      </c>
      <c r="F4" s="3" t="str">
        <f t="shared" si="0"/>
        <v>zero</v>
      </c>
      <c r="G4" s="3">
        <f>Source!E5</f>
        <v>1000</v>
      </c>
      <c r="H4" s="3" t="str">
        <f t="shared" ref="H4" si="9">IF(G4&lt;-0.1,"negative",IF(G4&lt;=0.1,"zero",IF(G4&lt;=1000,"1-1000",IF(G4&lt;=10000,"1'001-10'000",IF(G4&lt;=100000,"10'001-100'000",IF(G4&lt;=1000000,"100'001-1'000'000",IF(G4&lt;=10000000,"1'000'001-10'000'000","'&gt;10'000'000")))))))</f>
        <v>1-1000</v>
      </c>
      <c r="I4" s="1">
        <f>Source!F5</f>
        <v>1</v>
      </c>
      <c r="J4" s="3" t="str">
        <f t="shared" ref="J4" si="10">IF(I4&lt;-0.1,"negative",IF(I4&lt;=0.1,"zero",IF(I4&lt;=1000,"1-1000",IF(I4&lt;=10000,"1'001-10'000",IF(I4&lt;=100000,"10'001-100'000",IF(I4&lt;=1000000,"100'001-1'000'000",IF(I4&lt;=10000000,"1'000'001-10'000'000","'&gt;10'000'000")))))))</f>
        <v>1-1000</v>
      </c>
      <c r="K4" s="1">
        <f>Source!G5</f>
        <v>0</v>
      </c>
      <c r="L4" s="3" t="str">
        <f t="shared" ref="L4" si="11">IF(K4&lt;-0.1,"negative",IF(K4&lt;=0.1,"zero",IF(K4&lt;=1000,"1-1000",IF(K4&lt;=10000,"1'001-10'000",IF(K4&lt;=100000,"10'001-100'000",IF(K4&lt;=1000000,"100'001-1'000'000",IF(K4&lt;=10000000,"1'000'001-10'000'000","'&gt;10'000'000")))))))</f>
        <v>zero</v>
      </c>
      <c r="M4" s="1">
        <f>Source!H5</f>
        <v>10011001</v>
      </c>
      <c r="N4" s="3" t="str">
        <f t="shared" ref="N4" si="12">IF(M4&lt;-0.1,"negative",IF(M4&lt;=0.1,"zero",IF(M4&lt;=1000,"1-1000",IF(M4&lt;=10000,"1'001-10'000",IF(M4&lt;=100000,"10'001-100'000",IF(M4&lt;=1000000,"100'001-1'000'000",IF(M4&lt;=10000000,"1'000'001-10'000'000","'&gt;10'000'000")))))))</f>
        <v>'&gt;10'000'000</v>
      </c>
    </row>
    <row r="5" spans="1:14">
      <c r="A5" s="1" t="s">
        <v>24</v>
      </c>
      <c r="B5" s="1" t="s">
        <v>0</v>
      </c>
      <c r="C5" s="3">
        <f>Source!C6</f>
        <v>1000</v>
      </c>
      <c r="D5" s="3" t="str">
        <f t="shared" si="0"/>
        <v>1-1000</v>
      </c>
      <c r="E5" s="3">
        <f>Source!D6</f>
        <v>100000</v>
      </c>
      <c r="F5" s="3" t="str">
        <f t="shared" si="0"/>
        <v>10'001-100'000</v>
      </c>
      <c r="G5" s="3">
        <f>Source!E6</f>
        <v>100</v>
      </c>
      <c r="H5" s="3" t="str">
        <f t="shared" ref="H5" si="13">IF(G5&lt;-0.1,"negative",IF(G5&lt;=0.1,"zero",IF(G5&lt;=1000,"1-1000",IF(G5&lt;=10000,"1'001-10'000",IF(G5&lt;=100000,"10'001-100'000",IF(G5&lt;=1000000,"100'001-1'000'000",IF(G5&lt;=10000000,"1'000'001-10'000'000","'&gt;10'000'000")))))))</f>
        <v>1-1000</v>
      </c>
      <c r="I5" s="1">
        <f>Source!F6</f>
        <v>100</v>
      </c>
      <c r="J5" s="3" t="str">
        <f t="shared" ref="J5" si="14">IF(I5&lt;-0.1,"negative",IF(I5&lt;=0.1,"zero",IF(I5&lt;=1000,"1-1000",IF(I5&lt;=10000,"1'001-10'000",IF(I5&lt;=100000,"10'001-100'000",IF(I5&lt;=1000000,"100'001-1'000'000",IF(I5&lt;=10000000,"1'000'001-10'000'000","'&gt;10'000'000")))))))</f>
        <v>1-1000</v>
      </c>
      <c r="K5" s="1">
        <f>Source!G6</f>
        <v>-100000</v>
      </c>
      <c r="L5" s="3" t="str">
        <f t="shared" ref="L5" si="15">IF(K5&lt;-0.1,"negative",IF(K5&lt;=0.1,"zero",IF(K5&lt;=1000,"1-1000",IF(K5&lt;=10000,"1'001-10'000",IF(K5&lt;=100000,"10'001-100'000",IF(K5&lt;=1000000,"100'001-1'000'000",IF(K5&lt;=10000000,"1'000'001-10'000'000","'&gt;10'000'000")))))))</f>
        <v>negative</v>
      </c>
      <c r="M5" s="1">
        <f>Source!H6</f>
        <v>10001200</v>
      </c>
      <c r="N5" s="3" t="str">
        <f t="shared" ref="N5" si="16">IF(M5&lt;-0.1,"negative",IF(M5&lt;=0.1,"zero",IF(M5&lt;=1000,"1-1000",IF(M5&lt;=10000,"1'001-10'000",IF(M5&lt;=100000,"10'001-100'000",IF(M5&lt;=1000000,"100'001-1'000'000",IF(M5&lt;=10000000,"1'000'001-10'000'000","'&gt;10'000'000")))))))</f>
        <v>'&gt;10'000'000</v>
      </c>
    </row>
    <row r="6" spans="1:14">
      <c r="A6" s="1" t="s">
        <v>19</v>
      </c>
      <c r="B6" s="1" t="s">
        <v>0</v>
      </c>
      <c r="C6" s="3">
        <f>Source!C7</f>
        <v>100</v>
      </c>
      <c r="D6" s="3" t="str">
        <f t="shared" si="0"/>
        <v>1-1000</v>
      </c>
      <c r="E6" s="3">
        <f>Source!D7</f>
        <v>100000000</v>
      </c>
      <c r="F6" s="3" t="str">
        <f t="shared" si="0"/>
        <v>'&gt;10'000'000</v>
      </c>
      <c r="G6" s="3">
        <f>Source!E7</f>
        <v>10</v>
      </c>
      <c r="H6" s="3" t="str">
        <f t="shared" ref="H6" si="17">IF(G6&lt;-0.1,"negative",IF(G6&lt;=0.1,"zero",IF(G6&lt;=1000,"1-1000",IF(G6&lt;=10000,"1'001-10'000",IF(G6&lt;=100000,"10'001-100'000",IF(G6&lt;=1000000,"100'001-1'000'000",IF(G6&lt;=10000000,"1'000'001-10'000'000","'&gt;10'000'000")))))))</f>
        <v>1-1000</v>
      </c>
      <c r="I6" s="1">
        <f>Source!F7</f>
        <v>100</v>
      </c>
      <c r="J6" s="3" t="str">
        <f t="shared" ref="J6" si="18">IF(I6&lt;-0.1,"negative",IF(I6&lt;=0.1,"zero",IF(I6&lt;=1000,"1-1000",IF(I6&lt;=10000,"1'001-10'000",IF(I6&lt;=100000,"10'001-100'000",IF(I6&lt;=1000000,"100'001-1'000'000",IF(I6&lt;=10000000,"1'000'001-10'000'000","'&gt;10'000'000")))))))</f>
        <v>1-1000</v>
      </c>
      <c r="K6" s="1">
        <f>Source!G7</f>
        <v>0</v>
      </c>
      <c r="L6" s="3" t="str">
        <f t="shared" ref="L6" si="19">IF(K6&lt;-0.1,"negative",IF(K6&lt;=0.1,"zero",IF(K6&lt;=1000,"1-1000",IF(K6&lt;=10000,"1'001-10'000",IF(K6&lt;=100000,"10'001-100'000",IF(K6&lt;=1000000,"100'001-1'000'000",IF(K6&lt;=10000000,"1'000'001-10'000'000","'&gt;10'000'000")))))))</f>
        <v>zero</v>
      </c>
      <c r="M6" s="1">
        <f>Source!H7</f>
        <v>110000210</v>
      </c>
      <c r="N6" s="3" t="str">
        <f t="shared" ref="N6" si="20">IF(M6&lt;-0.1,"negative",IF(M6&lt;=0.1,"zero",IF(M6&lt;=1000,"1-1000",IF(M6&lt;=10000,"1'001-10'000",IF(M6&lt;=100000,"10'001-100'000",IF(M6&lt;=1000000,"100'001-1'000'000",IF(M6&lt;=10000000,"1'000'001-10'000'000","'&gt;10'000'000")))))))</f>
        <v>'&gt;10'000'000</v>
      </c>
    </row>
    <row r="7" spans="1:14">
      <c r="A7" s="1" t="s">
        <v>9</v>
      </c>
      <c r="B7" s="1" t="s">
        <v>0</v>
      </c>
      <c r="C7" s="3">
        <f>Source!C8</f>
        <v>1000</v>
      </c>
      <c r="D7" s="3" t="str">
        <f t="shared" si="0"/>
        <v>1-1000</v>
      </c>
      <c r="E7" s="3">
        <f>Source!D8</f>
        <v>0</v>
      </c>
      <c r="F7" s="3" t="str">
        <f t="shared" si="0"/>
        <v>zero</v>
      </c>
      <c r="G7" s="3">
        <f>Source!E8</f>
        <v>100000</v>
      </c>
      <c r="H7" s="3" t="str">
        <f t="shared" ref="H7" si="21">IF(G7&lt;-0.1,"negative",IF(G7&lt;=0.1,"zero",IF(G7&lt;=1000,"1-1000",IF(G7&lt;=10000,"1'001-10'000",IF(G7&lt;=100000,"10'001-100'000",IF(G7&lt;=1000000,"100'001-1'000'000",IF(G7&lt;=10000000,"1'000'001-10'000'000","'&gt;10'000'000")))))))</f>
        <v>10'001-100'000</v>
      </c>
      <c r="I7" s="1">
        <f>Source!F8</f>
        <v>1000</v>
      </c>
      <c r="J7" s="3" t="str">
        <f t="shared" ref="J7" si="22">IF(I7&lt;-0.1,"negative",IF(I7&lt;=0.1,"zero",IF(I7&lt;=1000,"1-1000",IF(I7&lt;=10000,"1'001-10'000",IF(I7&lt;=100000,"10'001-100'000",IF(I7&lt;=1000000,"100'001-1'000'000",IF(I7&lt;=10000000,"1'000'001-10'000'000","'&gt;10'000'000")))))))</f>
        <v>1-1000</v>
      </c>
      <c r="K7" s="1">
        <f>Source!G8</f>
        <v>100000</v>
      </c>
      <c r="L7" s="3" t="str">
        <f t="shared" ref="L7" si="23">IF(K7&lt;-0.1,"negative",IF(K7&lt;=0.1,"zero",IF(K7&lt;=1000,"1-1000",IF(K7&lt;=10000,"1'001-10'000",IF(K7&lt;=100000,"10'001-100'000",IF(K7&lt;=1000000,"100'001-1'000'000",IF(K7&lt;=10000000,"1'000'001-10'000'000","'&gt;10'000'000")))))))</f>
        <v>10'001-100'000</v>
      </c>
      <c r="M7" s="1">
        <f>Source!H8</f>
        <v>10202000</v>
      </c>
      <c r="N7" s="3" t="str">
        <f t="shared" ref="N7" si="24">IF(M7&lt;-0.1,"negative",IF(M7&lt;=0.1,"zero",IF(M7&lt;=1000,"1-1000",IF(M7&lt;=10000,"1'001-10'000",IF(M7&lt;=100000,"10'001-100'000",IF(M7&lt;=1000000,"100'001-1'000'000",IF(M7&lt;=10000000,"1'000'001-10'000'000","'&gt;10'000'000")))))))</f>
        <v>'&gt;10'000'000</v>
      </c>
    </row>
    <row r="8" spans="1:14">
      <c r="A8" s="1" t="s">
        <v>25</v>
      </c>
      <c r="B8" s="1" t="s">
        <v>7</v>
      </c>
      <c r="C8" s="3">
        <f>Source!C9</f>
        <v>1</v>
      </c>
      <c r="D8" s="3" t="str">
        <f t="shared" si="0"/>
        <v>1-1000</v>
      </c>
      <c r="E8" s="3">
        <f>Source!D9</f>
        <v>100000</v>
      </c>
      <c r="F8" s="3" t="str">
        <f t="shared" si="0"/>
        <v>10'001-100'000</v>
      </c>
      <c r="G8" s="3">
        <f>Source!E9</f>
        <v>100</v>
      </c>
      <c r="H8" s="3" t="str">
        <f t="shared" ref="H8" si="25">IF(G8&lt;-0.1,"negative",IF(G8&lt;=0.1,"zero",IF(G8&lt;=1000,"1-1000",IF(G8&lt;=10000,"1'001-10'000",IF(G8&lt;=100000,"10'001-100'000",IF(G8&lt;=1000000,"100'001-1'000'000",IF(G8&lt;=10000000,"1'000'001-10'000'000","'&gt;10'000'000")))))))</f>
        <v>1-1000</v>
      </c>
      <c r="I8" s="1">
        <f>Source!F9</f>
        <v>10</v>
      </c>
      <c r="J8" s="3" t="str">
        <f t="shared" ref="J8" si="26">IF(I8&lt;-0.1,"negative",IF(I8&lt;=0.1,"zero",IF(I8&lt;=1000,"1-1000",IF(I8&lt;=10000,"1'001-10'000",IF(I8&lt;=100000,"10'001-100'000",IF(I8&lt;=1000000,"100'001-1'000'000",IF(I8&lt;=10000000,"1'000'001-10'000'000","'&gt;10'000'000")))))))</f>
        <v>1-1000</v>
      </c>
      <c r="K8" s="1">
        <f>Source!G9</f>
        <v>1000000</v>
      </c>
      <c r="L8" s="3" t="str">
        <f t="shared" ref="L8" si="27">IF(K8&lt;-0.1,"negative",IF(K8&lt;=0.1,"zero",IF(K8&lt;=1000,"1-1000",IF(K8&lt;=10000,"1'001-10'000",IF(K8&lt;=100000,"10'001-100'000",IF(K8&lt;=1000000,"100'001-1'000'000",IF(K8&lt;=10000000,"1'000'001-10'000'000","'&gt;10'000'000")))))))</f>
        <v>100'001-1'000'000</v>
      </c>
      <c r="M8" s="1">
        <f>Source!H9</f>
        <v>11100111</v>
      </c>
      <c r="N8" s="3" t="str">
        <f t="shared" ref="N8" si="28">IF(M8&lt;-0.1,"negative",IF(M8&lt;=0.1,"zero",IF(M8&lt;=1000,"1-1000",IF(M8&lt;=10000,"1'001-10'000",IF(M8&lt;=100000,"10'001-100'000",IF(M8&lt;=1000000,"100'001-1'000'000",IF(M8&lt;=10000000,"1'000'001-10'000'000","'&gt;10'000'000")))))))</f>
        <v>'&gt;10'000'000</v>
      </c>
    </row>
    <row r="9" spans="1:14">
      <c r="A9" s="1" t="s">
        <v>11</v>
      </c>
      <c r="B9" s="1" t="s">
        <v>4</v>
      </c>
      <c r="C9" s="3">
        <f>Source!C10</f>
        <v>10</v>
      </c>
      <c r="D9" s="3" t="str">
        <f t="shared" si="0"/>
        <v>1-1000</v>
      </c>
      <c r="E9" s="3">
        <f>Source!D10</f>
        <v>1000000</v>
      </c>
      <c r="F9" s="3" t="str">
        <f t="shared" si="0"/>
        <v>100'001-1'000'000</v>
      </c>
      <c r="G9" s="3">
        <f>Source!E10</f>
        <v>0</v>
      </c>
      <c r="H9" s="3" t="str">
        <f t="shared" ref="H9" si="29">IF(G9&lt;-0.1,"negative",IF(G9&lt;=0.1,"zero",IF(G9&lt;=1000,"1-1000",IF(G9&lt;=10000,"1'001-10'000",IF(G9&lt;=100000,"10'001-100'000",IF(G9&lt;=1000000,"100'001-1'000'000",IF(G9&lt;=10000000,"1'000'001-10'000'000","'&gt;10'000'000")))))))</f>
        <v>zero</v>
      </c>
      <c r="I9" s="1">
        <f>Source!F10</f>
        <v>-10000</v>
      </c>
      <c r="J9" s="3" t="str">
        <f t="shared" ref="J9" si="30">IF(I9&lt;-0.1,"negative",IF(I9&lt;=0.1,"zero",IF(I9&lt;=1000,"1-1000",IF(I9&lt;=10000,"1'001-10'000",IF(I9&lt;=100000,"10'001-100'000",IF(I9&lt;=1000000,"100'001-1'000'000",IF(I9&lt;=10000000,"1'000'001-10'000'000","'&gt;10'000'000")))))))</f>
        <v>negative</v>
      </c>
      <c r="K9" s="1">
        <f>Source!G10</f>
        <v>100</v>
      </c>
      <c r="L9" s="3" t="str">
        <f t="shared" ref="L9" si="31">IF(K9&lt;-0.1,"negative",IF(K9&lt;=0.1,"zero",IF(K9&lt;=1000,"1-1000",IF(K9&lt;=10000,"1'001-10'000",IF(K9&lt;=100000,"10'001-100'000",IF(K9&lt;=1000000,"100'001-1'000'000",IF(K9&lt;=10000000,"1'000'001-10'000'000","'&gt;10'000'000")))))))</f>
        <v>1-1000</v>
      </c>
      <c r="M9" s="1">
        <f>Source!H10</f>
        <v>10990110</v>
      </c>
      <c r="N9" s="3" t="str">
        <f t="shared" ref="N9" si="32">IF(M9&lt;-0.1,"negative",IF(M9&lt;=0.1,"zero",IF(M9&lt;=1000,"1-1000",IF(M9&lt;=10000,"1'001-10'000",IF(M9&lt;=100000,"10'001-100'000",IF(M9&lt;=1000000,"100'001-1'000'000",IF(M9&lt;=10000000,"1'000'001-10'000'000","'&gt;10'000'000")))))))</f>
        <v>'&gt;10'000'000</v>
      </c>
    </row>
    <row r="10" spans="1:14">
      <c r="A10" s="1" t="s">
        <v>5</v>
      </c>
      <c r="B10" s="1" t="s">
        <v>4</v>
      </c>
      <c r="C10" s="3">
        <f>Source!C11</f>
        <v>100</v>
      </c>
      <c r="D10" s="3" t="str">
        <f t="shared" si="0"/>
        <v>1-1000</v>
      </c>
      <c r="E10" s="3">
        <f>Source!D11</f>
        <v>100</v>
      </c>
      <c r="F10" s="3" t="str">
        <f t="shared" si="0"/>
        <v>1-1000</v>
      </c>
      <c r="G10" s="3">
        <f>Source!E11</f>
        <v>100000</v>
      </c>
      <c r="H10" s="3" t="str">
        <f t="shared" ref="H10" si="33">IF(G10&lt;-0.1,"negative",IF(G10&lt;=0.1,"zero",IF(G10&lt;=1000,"1-1000",IF(G10&lt;=10000,"1'001-10'000",IF(G10&lt;=100000,"10'001-100'000",IF(G10&lt;=1000000,"100'001-1'000'000",IF(G10&lt;=10000000,"1'000'001-10'000'000","'&gt;10'000'000")))))))</f>
        <v>10'001-100'000</v>
      </c>
      <c r="I10" s="1">
        <f>Source!F11</f>
        <v>1</v>
      </c>
      <c r="J10" s="3" t="str">
        <f t="shared" ref="J10" si="34">IF(I10&lt;-0.1,"negative",IF(I10&lt;=0.1,"zero",IF(I10&lt;=1000,"1-1000",IF(I10&lt;=10000,"1'001-10'000",IF(I10&lt;=100000,"10'001-100'000",IF(I10&lt;=1000000,"100'001-1'000'000",IF(I10&lt;=10000000,"1'000'001-10'000'000","'&gt;10'000'000")))))))</f>
        <v>1-1000</v>
      </c>
      <c r="K10" s="1">
        <f>Source!G11</f>
        <v>1</v>
      </c>
      <c r="L10" s="3" t="str">
        <f t="shared" ref="L10" si="35">IF(K10&lt;-0.1,"negative",IF(K10&lt;=0.1,"zero",IF(K10&lt;=1000,"1-1000",IF(K10&lt;=10000,"1'001-10'000",IF(K10&lt;=100000,"10'001-100'000",IF(K10&lt;=1000000,"100'001-1'000'000",IF(K10&lt;=10000000,"1'000'001-10'000'000","'&gt;10'000'000")))))))</f>
        <v>1-1000</v>
      </c>
      <c r="M10" s="1">
        <f>Source!H11</f>
        <v>10100202</v>
      </c>
      <c r="N10" s="3" t="str">
        <f t="shared" ref="N10" si="36">IF(M10&lt;-0.1,"negative",IF(M10&lt;=0.1,"zero",IF(M10&lt;=1000,"1-1000",IF(M10&lt;=10000,"1'001-10'000",IF(M10&lt;=100000,"10'001-100'000",IF(M10&lt;=1000000,"100'001-1'000'000",IF(M10&lt;=10000000,"1'000'001-10'000'000","'&gt;10'000'000")))))))</f>
        <v>'&gt;10'000'000</v>
      </c>
    </row>
    <row r="11" spans="1:14">
      <c r="A11" s="1" t="s">
        <v>23</v>
      </c>
      <c r="B11" s="1" t="s">
        <v>2</v>
      </c>
      <c r="C11" s="3">
        <f>Source!C12</f>
        <v>100</v>
      </c>
      <c r="D11" s="3" t="str">
        <f t="shared" si="0"/>
        <v>1-1000</v>
      </c>
      <c r="E11" s="3">
        <f>Source!D12</f>
        <v>1</v>
      </c>
      <c r="F11" s="3" t="str">
        <f t="shared" si="0"/>
        <v>1-1000</v>
      </c>
      <c r="G11" s="3">
        <f>Source!E12</f>
        <v>1000000</v>
      </c>
      <c r="H11" s="3" t="str">
        <f t="shared" ref="H11" si="37">IF(G11&lt;-0.1,"negative",IF(G11&lt;=0.1,"zero",IF(G11&lt;=1000,"1-1000",IF(G11&lt;=10000,"1'001-10'000",IF(G11&lt;=100000,"10'001-100'000",IF(G11&lt;=1000000,"100'001-1'000'000",IF(G11&lt;=10000000,"1'000'001-10'000'000","'&gt;10'000'000")))))))</f>
        <v>100'001-1'000'000</v>
      </c>
      <c r="I11" s="1">
        <f>Source!F12</f>
        <v>100000000</v>
      </c>
      <c r="J11" s="3" t="str">
        <f t="shared" ref="J11" si="38">IF(I11&lt;-0.1,"negative",IF(I11&lt;=0.1,"zero",IF(I11&lt;=1000,"1-1000",IF(I11&lt;=10000,"1'001-10'000",IF(I11&lt;=100000,"10'001-100'000",IF(I11&lt;=1000000,"100'001-1'000'000",IF(I11&lt;=10000000,"1'000'001-10'000'000","'&gt;10'000'000")))))))</f>
        <v>'&gt;10'000'000</v>
      </c>
      <c r="K11" s="1">
        <f>Source!G12</f>
        <v>1</v>
      </c>
      <c r="L11" s="3" t="str">
        <f t="shared" ref="L11" si="39">IF(K11&lt;-0.1,"negative",IF(K11&lt;=0.1,"zero",IF(K11&lt;=1000,"1-1000",IF(K11&lt;=10000,"1'001-10'000",IF(K11&lt;=100000,"10'001-100'000",IF(K11&lt;=1000000,"100'001-1'000'000",IF(K11&lt;=10000000,"1'000'001-10'000'000","'&gt;10'000'000")))))))</f>
        <v>1-1000</v>
      </c>
      <c r="M11" s="1">
        <f>Source!H12</f>
        <v>111000102</v>
      </c>
      <c r="N11" s="3" t="str">
        <f t="shared" ref="N11" si="40">IF(M11&lt;-0.1,"negative",IF(M11&lt;=0.1,"zero",IF(M11&lt;=1000,"1-1000",IF(M11&lt;=10000,"1'001-10'000",IF(M11&lt;=100000,"10'001-100'000",IF(M11&lt;=1000000,"100'001-1'000'000",IF(M11&lt;=10000000,"1'000'001-10'000'000","'&gt;10'000'000")))))))</f>
        <v>'&gt;10'000'000</v>
      </c>
    </row>
    <row r="12" spans="1:14">
      <c r="A12" s="1" t="s">
        <v>18</v>
      </c>
      <c r="B12" s="1" t="s">
        <v>2</v>
      </c>
      <c r="C12" s="3">
        <f>Source!C13</f>
        <v>1000</v>
      </c>
      <c r="D12" s="3" t="str">
        <f t="shared" si="0"/>
        <v>1-1000</v>
      </c>
      <c r="E12" s="3">
        <f>Source!D13</f>
        <v>-1000</v>
      </c>
      <c r="F12" s="3" t="str">
        <f t="shared" si="0"/>
        <v>negative</v>
      </c>
      <c r="G12" s="3">
        <f>Source!E13</f>
        <v>100</v>
      </c>
      <c r="H12" s="3" t="str">
        <f t="shared" ref="H12" si="41">IF(G12&lt;-0.1,"negative",IF(G12&lt;=0.1,"zero",IF(G12&lt;=1000,"1-1000",IF(G12&lt;=10000,"1'001-10'000",IF(G12&lt;=100000,"10'001-100'000",IF(G12&lt;=1000000,"100'001-1'000'000",IF(G12&lt;=10000000,"1'000'001-10'000'000","'&gt;10'000'000")))))))</f>
        <v>1-1000</v>
      </c>
      <c r="I12" s="1">
        <f>Source!F13</f>
        <v>1000000</v>
      </c>
      <c r="J12" s="3" t="str">
        <f t="shared" ref="J12" si="42">IF(I12&lt;-0.1,"negative",IF(I12&lt;=0.1,"zero",IF(I12&lt;=1000,"1-1000",IF(I12&lt;=10000,"1'001-10'000",IF(I12&lt;=100000,"10'001-100'000",IF(I12&lt;=1000000,"100'001-1'000'000",IF(I12&lt;=10000000,"1'000'001-10'000'000","'&gt;10'000'000")))))))</f>
        <v>100'001-1'000'000</v>
      </c>
      <c r="K12" s="1">
        <f>Source!G13</f>
        <v>10000000</v>
      </c>
      <c r="L12" s="3" t="str">
        <f t="shared" ref="L12" si="43">IF(K12&lt;-0.1,"negative",IF(K12&lt;=0.1,"zero",IF(K12&lt;=1000,"1-1000",IF(K12&lt;=10000,"1'001-10'000",IF(K12&lt;=100000,"10'001-100'000",IF(K12&lt;=1000000,"100'001-1'000'000",IF(K12&lt;=10000000,"1'000'001-10'000'000","'&gt;10'000'000")))))))</f>
        <v>1'000'001-10'000'000</v>
      </c>
      <c r="M12" s="1">
        <f>Source!H13</f>
        <v>21000100</v>
      </c>
      <c r="N12" s="3" t="str">
        <f t="shared" ref="N12" si="44">IF(M12&lt;-0.1,"negative",IF(M12&lt;=0.1,"zero",IF(M12&lt;=1000,"1-1000",IF(M12&lt;=10000,"1'001-10'000",IF(M12&lt;=100000,"10'001-100'000",IF(M12&lt;=1000000,"100'001-1'000'000",IF(M12&lt;=10000000,"1'000'001-10'000'000","'&gt;10'000'000")))))))</f>
        <v>'&gt;10'000'000</v>
      </c>
    </row>
    <row r="13" spans="1:14">
      <c r="A13" s="1" t="s">
        <v>3</v>
      </c>
      <c r="B13" s="1" t="s">
        <v>2</v>
      </c>
      <c r="C13" s="3">
        <f>Source!C14</f>
        <v>100000000</v>
      </c>
      <c r="D13" s="3" t="str">
        <f>IF(C13&lt;-0.1,"negative",IF(C13&lt;=0.1,"zero",IF(C13&lt;=1000,"1-1000",IF(C13&lt;=10000,"1'001-10'000",IF(C13&lt;=100000,"10'001-100'000",IF(C13&lt;=1000000,"100'001-1'000'000",IF(C13&lt;=10000000,"1'000'001-10'000'000","'&gt;10'000'000")))))))</f>
        <v>'&gt;10'000'000</v>
      </c>
      <c r="E13" s="3">
        <f>Source!D14</f>
        <v>0</v>
      </c>
      <c r="F13" s="3" t="str">
        <f>IF(E13&lt;-0.1,"negative",IF(E13&lt;=0.1,"zero",IF(E13&lt;=1000,"1-1000",IF(E13&lt;=10000,"1'001-10'000",IF(E13&lt;=100000,"10'001-100'000",IF(E13&lt;=1000000,"100'001-1'000'000",IF(E13&lt;=10000000,"1'000'001-10'000'000","'&gt;10'000'000")))))))</f>
        <v>zero</v>
      </c>
      <c r="G13" s="3">
        <f>Source!E14</f>
        <v>1</v>
      </c>
      <c r="H13" s="3" t="str">
        <f>IF(G13&lt;-0.1,"negative",IF(G13&lt;=0.1,"zero",IF(G13&lt;=1000,"1-1000",IF(G13&lt;=10000,"1'001-10'000",IF(G13&lt;=100000,"10'001-100'000",IF(G13&lt;=1000000,"100'001-1'000'000",IF(G13&lt;=10000000,"1'000'001-10'000'000","'&gt;10'000'000")))))))</f>
        <v>1-1000</v>
      </c>
      <c r="I13" s="1">
        <f>Source!F14</f>
        <v>100000</v>
      </c>
      <c r="J13" s="3" t="str">
        <f>IF(I13&lt;-0.1,"negative",IF(I13&lt;=0.1,"zero",IF(I13&lt;=1000,"1-1000",IF(I13&lt;=10000,"1'001-10'000",IF(I13&lt;=100000,"10'001-100'000",IF(I13&lt;=1000000,"100'001-1'000'000",IF(I13&lt;=10000000,"1'000'001-10'000'000","'&gt;10'000'000")))))))</f>
        <v>10'001-100'000</v>
      </c>
      <c r="K13" s="1">
        <f>Source!G14</f>
        <v>1000</v>
      </c>
      <c r="L13" s="3" t="str">
        <f>IF(K13&lt;-0.1,"negative",IF(K13&lt;=0.1,"zero",IF(K13&lt;=1000,"1-1000",IF(K13&lt;=10000,"1'001-10'000",IF(K13&lt;=100000,"10'001-100'000",IF(K13&lt;=1000000,"100'001-1'000'000",IF(K13&lt;=10000000,"1'000'001-10'000'000","'&gt;10'000'000")))))))</f>
        <v>1-1000</v>
      </c>
      <c r="M13" s="1">
        <f>Source!H14</f>
        <v>110101001</v>
      </c>
      <c r="N13" s="3" t="str">
        <f>IF(M13&lt;-0.1,"negative",IF(M13&lt;=0.1,"zero",IF(M13&lt;=1000,"1-1000",IF(M13&lt;=10000,"1'001-10'000",IF(M13&lt;=100000,"10'001-100'000",IF(M13&lt;=1000000,"100'001-1'000'000",IF(M13&lt;=10000000,"1'000'001-10'000'000","'&gt;10'000'000")))))))</f>
        <v>'&gt;10'000'000</v>
      </c>
    </row>
    <row r="14" spans="1:14">
      <c r="A14" s="1" t="s">
        <v>16</v>
      </c>
      <c r="B14" s="1" t="s">
        <v>0</v>
      </c>
      <c r="C14" s="3">
        <f>Source!C15</f>
        <v>10000</v>
      </c>
      <c r="D14" s="3" t="str">
        <f t="shared" si="0"/>
        <v>1'001-10'000</v>
      </c>
      <c r="E14" s="3">
        <f>Source!D15</f>
        <v>10000</v>
      </c>
      <c r="F14" s="3" t="str">
        <f t="shared" si="0"/>
        <v>1'001-10'000</v>
      </c>
      <c r="G14" s="3">
        <f>Source!E15</f>
        <v>10</v>
      </c>
      <c r="H14" s="3" t="str">
        <f t="shared" ref="H14" si="45">IF(G14&lt;-0.1,"negative",IF(G14&lt;=0.1,"zero",IF(G14&lt;=1000,"1-1000",IF(G14&lt;=10000,"1'001-10'000",IF(G14&lt;=100000,"10'001-100'000",IF(G14&lt;=1000000,"100'001-1'000'000",IF(G14&lt;=10000000,"1'000'001-10'000'000","'&gt;10'000'000")))))))</f>
        <v>1-1000</v>
      </c>
      <c r="I14" s="1">
        <f>Source!F15</f>
        <v>1000000</v>
      </c>
      <c r="J14" s="3" t="str">
        <f t="shared" ref="J14" si="46">IF(I14&lt;-0.1,"negative",IF(I14&lt;=0.1,"zero",IF(I14&lt;=1000,"1-1000",IF(I14&lt;=10000,"1'001-10'000",IF(I14&lt;=100000,"10'001-100'000",IF(I14&lt;=1000000,"100'001-1'000'000",IF(I14&lt;=10000000,"1'000'001-10'000'000","'&gt;10'000'000")))))))</f>
        <v>100'001-1'000'000</v>
      </c>
      <c r="K14" s="1">
        <f>Source!G15</f>
        <v>100</v>
      </c>
      <c r="L14" s="3" t="str">
        <f t="shared" ref="L14" si="47">IF(K14&lt;-0.1,"negative",IF(K14&lt;=0.1,"zero",IF(K14&lt;=1000,"1-1000",IF(K14&lt;=10000,"1'001-10'000",IF(K14&lt;=100000,"10'001-100'000",IF(K14&lt;=1000000,"100'001-1'000'000",IF(K14&lt;=10000000,"1'000'001-10'000'000","'&gt;10'000'000")))))))</f>
        <v>1-1000</v>
      </c>
      <c r="M14" s="1">
        <f>Source!H15</f>
        <v>11020110</v>
      </c>
      <c r="N14" s="3" t="str">
        <f t="shared" ref="N14" si="48">IF(M14&lt;-0.1,"negative",IF(M14&lt;=0.1,"zero",IF(M14&lt;=1000,"1-1000",IF(M14&lt;=10000,"1'001-10'000",IF(M14&lt;=100000,"10'001-100'000",IF(M14&lt;=1000000,"100'001-1'000'000",IF(M14&lt;=10000000,"1'000'001-10'000'000","'&gt;10'000'000")))))))</f>
        <v>'&gt;10'000'000</v>
      </c>
    </row>
    <row r="15" spans="1:14">
      <c r="A15" s="1" t="s">
        <v>17</v>
      </c>
      <c r="B15" s="1" t="s">
        <v>12</v>
      </c>
      <c r="C15" s="3">
        <f>Source!C16</f>
        <v>1</v>
      </c>
      <c r="D15" s="3" t="str">
        <f t="shared" si="0"/>
        <v>1-1000</v>
      </c>
      <c r="E15" s="3">
        <f>Source!D16</f>
        <v>10</v>
      </c>
      <c r="F15" s="3" t="str">
        <f t="shared" si="0"/>
        <v>1-1000</v>
      </c>
      <c r="G15" s="3">
        <f>Source!E16</f>
        <v>-10</v>
      </c>
      <c r="H15" s="3" t="str">
        <f t="shared" ref="H15" si="49">IF(G15&lt;-0.1,"negative",IF(G15&lt;=0.1,"zero",IF(G15&lt;=1000,"1-1000",IF(G15&lt;=10000,"1'001-10'000",IF(G15&lt;=100000,"10'001-100'000",IF(G15&lt;=1000000,"100'001-1'000'000",IF(G15&lt;=10000000,"1'000'001-10'000'000","'&gt;10'000'000")))))))</f>
        <v>negative</v>
      </c>
      <c r="I15" s="1">
        <f>Source!F16</f>
        <v>100</v>
      </c>
      <c r="J15" s="3" t="str">
        <f t="shared" ref="J15" si="50">IF(I15&lt;-0.1,"negative",IF(I15&lt;=0.1,"zero",IF(I15&lt;=1000,"1-1000",IF(I15&lt;=10000,"1'001-10'000",IF(I15&lt;=100000,"10'001-100'000",IF(I15&lt;=1000000,"100'001-1'000'000",IF(I15&lt;=10000000,"1'000'001-10'000'000","'&gt;10'000'000")))))))</f>
        <v>1-1000</v>
      </c>
      <c r="K15" s="1">
        <f>Source!G16</f>
        <v>100</v>
      </c>
      <c r="L15" s="3" t="str">
        <f t="shared" ref="L15" si="51">IF(K15&lt;-0.1,"negative",IF(K15&lt;=0.1,"zero",IF(K15&lt;=1000,"1-1000",IF(K15&lt;=10000,"1'001-10'000",IF(K15&lt;=100000,"10'001-100'000",IF(K15&lt;=1000000,"100'001-1'000'000",IF(K15&lt;=10000000,"1'000'001-10'000'000","'&gt;10'000'000")))))))</f>
        <v>1-1000</v>
      </c>
      <c r="M15" s="1">
        <f>Source!H16</f>
        <v>10000201</v>
      </c>
      <c r="N15" s="3" t="str">
        <f t="shared" ref="N15" si="52">IF(M15&lt;-0.1,"negative",IF(M15&lt;=0.1,"zero",IF(M15&lt;=1000,"1-1000",IF(M15&lt;=10000,"1'001-10'000",IF(M15&lt;=100000,"10'001-100'000",IF(M15&lt;=1000000,"100'001-1'000'000",IF(M15&lt;=10000000,"1'000'001-10'000'000","'&gt;10'000'000")))))))</f>
        <v>'&gt;10'000'000</v>
      </c>
    </row>
    <row r="16" spans="1:14">
      <c r="A16" s="1" t="s">
        <v>21</v>
      </c>
      <c r="B16" s="1" t="s">
        <v>7</v>
      </c>
      <c r="C16" s="3">
        <f>Source!C17</f>
        <v>100</v>
      </c>
      <c r="D16" s="3" t="str">
        <f t="shared" si="0"/>
        <v>1-1000</v>
      </c>
      <c r="E16" s="3">
        <f>Source!D17</f>
        <v>10</v>
      </c>
      <c r="F16" s="3" t="str">
        <f t="shared" si="0"/>
        <v>1-1000</v>
      </c>
      <c r="G16" s="3">
        <f>Source!E17</f>
        <v>100</v>
      </c>
      <c r="H16" s="3" t="str">
        <f t="shared" ref="H16" si="53">IF(G16&lt;-0.1,"negative",IF(G16&lt;=0.1,"zero",IF(G16&lt;=1000,"1-1000",IF(G16&lt;=10000,"1'001-10'000",IF(G16&lt;=100000,"10'001-100'000",IF(G16&lt;=1000000,"100'001-1'000'000",IF(G16&lt;=10000000,"1'000'001-10'000'000","'&gt;10'000'000")))))))</f>
        <v>1-1000</v>
      </c>
      <c r="I16" s="1">
        <f>Source!F17</f>
        <v>1</v>
      </c>
      <c r="J16" s="3" t="str">
        <f t="shared" ref="J16" si="54">IF(I16&lt;-0.1,"negative",IF(I16&lt;=0.1,"zero",IF(I16&lt;=1000,"1-1000",IF(I16&lt;=10000,"1'001-10'000",IF(I16&lt;=100000,"10'001-100'000",IF(I16&lt;=1000000,"100'001-1'000'000",IF(I16&lt;=10000000,"1'000'001-10'000'000","'&gt;10'000'000")))))))</f>
        <v>1-1000</v>
      </c>
      <c r="K16" s="1">
        <f>Source!G17</f>
        <v>100</v>
      </c>
      <c r="L16" s="3" t="str">
        <f t="shared" ref="L16" si="55">IF(K16&lt;-0.1,"negative",IF(K16&lt;=0.1,"zero",IF(K16&lt;=1000,"1-1000",IF(K16&lt;=10000,"1'001-10'000",IF(K16&lt;=100000,"10'001-100'000",IF(K16&lt;=1000000,"100'001-1'000'000",IF(K16&lt;=10000000,"1'000'001-10'000'000","'&gt;10'000'000")))))))</f>
        <v>1-1000</v>
      </c>
      <c r="M16" s="1">
        <f>Source!H17</f>
        <v>10000311</v>
      </c>
      <c r="N16" s="3" t="str">
        <f t="shared" ref="N16" si="56">IF(M16&lt;-0.1,"negative",IF(M16&lt;=0.1,"zero",IF(M16&lt;=1000,"1-1000",IF(M16&lt;=10000,"1'001-10'000",IF(M16&lt;=100000,"10'001-100'000",IF(M16&lt;=1000000,"100'001-1'000'000",IF(M16&lt;=10000000,"1'000'001-10'000'000","'&gt;10'000'000")))))))</f>
        <v>'&gt;10'000'000</v>
      </c>
    </row>
    <row r="17" spans="1:14">
      <c r="A17" s="1" t="s">
        <v>10</v>
      </c>
      <c r="B17" s="1" t="s">
        <v>4</v>
      </c>
      <c r="C17" s="3">
        <f>Source!C18</f>
        <v>1</v>
      </c>
      <c r="D17" s="3" t="str">
        <f t="shared" si="0"/>
        <v>1-1000</v>
      </c>
      <c r="E17" s="3">
        <f>Source!D18</f>
        <v>100000</v>
      </c>
      <c r="F17" s="3" t="str">
        <f t="shared" si="0"/>
        <v>10'001-100'000</v>
      </c>
      <c r="G17" s="3">
        <f>Source!E18</f>
        <v>1000</v>
      </c>
      <c r="H17" s="3" t="str">
        <f t="shared" ref="H17" si="57">IF(G17&lt;-0.1,"negative",IF(G17&lt;=0.1,"zero",IF(G17&lt;=1000,"1-1000",IF(G17&lt;=10000,"1'001-10'000",IF(G17&lt;=100000,"10'001-100'000",IF(G17&lt;=1000000,"100'001-1'000'000",IF(G17&lt;=10000000,"1'000'001-10'000'000","'&gt;10'000'000")))))))</f>
        <v>1-1000</v>
      </c>
      <c r="I17" s="1">
        <f>Source!F18</f>
        <v>10000000</v>
      </c>
      <c r="J17" s="3" t="str">
        <f t="shared" ref="J17" si="58">IF(I17&lt;-0.1,"negative",IF(I17&lt;=0.1,"zero",IF(I17&lt;=1000,"1-1000",IF(I17&lt;=10000,"1'001-10'000",IF(I17&lt;=100000,"10'001-100'000",IF(I17&lt;=1000000,"100'001-1'000'000",IF(I17&lt;=10000000,"1'000'001-10'000'000","'&gt;10'000'000")))))))</f>
        <v>1'000'001-10'000'000</v>
      </c>
      <c r="K17" s="1">
        <f>Source!G18</f>
        <v>1000</v>
      </c>
      <c r="L17" s="3" t="str">
        <f t="shared" ref="L17" si="59">IF(K17&lt;-0.1,"negative",IF(K17&lt;=0.1,"zero",IF(K17&lt;=1000,"1-1000",IF(K17&lt;=10000,"1'001-10'000",IF(K17&lt;=100000,"10'001-100'000",IF(K17&lt;=1000000,"100'001-1'000'000",IF(K17&lt;=10000000,"1'000'001-10'000'000","'&gt;10'000'000")))))))</f>
        <v>1-1000</v>
      </c>
      <c r="M17" s="1">
        <f>Source!H18</f>
        <v>20102001</v>
      </c>
      <c r="N17" s="3" t="str">
        <f t="shared" ref="N17" si="60">IF(M17&lt;-0.1,"negative",IF(M17&lt;=0.1,"zero",IF(M17&lt;=1000,"1-1000",IF(M17&lt;=10000,"1'001-10'000",IF(M17&lt;=100000,"10'001-100'000",IF(M17&lt;=1000000,"100'001-1'000'000",IF(M17&lt;=10000000,"1'000'001-10'000'000","'&gt;10'000'000")))))))</f>
        <v>'&gt;10'000'000</v>
      </c>
    </row>
    <row r="18" spans="1:14">
      <c r="A18" s="1" t="s">
        <v>20</v>
      </c>
      <c r="B18" s="1" t="s">
        <v>0</v>
      </c>
      <c r="C18" s="3">
        <f>Source!C19</f>
        <v>0</v>
      </c>
      <c r="D18" s="3" t="str">
        <f t="shared" si="0"/>
        <v>zero</v>
      </c>
      <c r="E18" s="3">
        <f>Source!D19</f>
        <v>10</v>
      </c>
      <c r="F18" s="3" t="str">
        <f t="shared" si="0"/>
        <v>1-1000</v>
      </c>
      <c r="G18" s="3">
        <f>Source!E19</f>
        <v>1</v>
      </c>
      <c r="H18" s="3" t="str">
        <f t="shared" ref="H18" si="61">IF(G18&lt;-0.1,"negative",IF(G18&lt;=0.1,"zero",IF(G18&lt;=1000,"1-1000",IF(G18&lt;=10000,"1'001-10'000",IF(G18&lt;=100000,"10'001-100'000",IF(G18&lt;=1000000,"100'001-1'000'000",IF(G18&lt;=10000000,"1'000'001-10'000'000","'&gt;10'000'000")))))))</f>
        <v>1-1000</v>
      </c>
      <c r="I18" s="1">
        <f>Source!F19</f>
        <v>1</v>
      </c>
      <c r="J18" s="3" t="str">
        <f t="shared" ref="J18" si="62">IF(I18&lt;-0.1,"negative",IF(I18&lt;=0.1,"zero",IF(I18&lt;=1000,"1-1000",IF(I18&lt;=10000,"1'001-10'000",IF(I18&lt;=100000,"10'001-100'000",IF(I18&lt;=1000000,"100'001-1'000'000",IF(I18&lt;=10000000,"1'000'001-10'000'000","'&gt;10'000'000")))))))</f>
        <v>1-1000</v>
      </c>
      <c r="K18" s="1">
        <f>Source!G19</f>
        <v>0</v>
      </c>
      <c r="L18" s="3" t="str">
        <f t="shared" ref="L18" si="63">IF(K18&lt;-0.1,"negative",IF(K18&lt;=0.1,"zero",IF(K18&lt;=1000,"1-1000",IF(K18&lt;=10000,"1'001-10'000",IF(K18&lt;=100000,"10'001-100'000",IF(K18&lt;=1000000,"100'001-1'000'000",IF(K18&lt;=10000000,"1'000'001-10'000'000","'&gt;10'000'000")))))))</f>
        <v>zero</v>
      </c>
      <c r="M18" s="1">
        <f>Source!H19</f>
        <v>10000012</v>
      </c>
      <c r="N18" s="3" t="str">
        <f t="shared" ref="N18" si="64">IF(M18&lt;-0.1,"negative",IF(M18&lt;=0.1,"zero",IF(M18&lt;=1000,"1-1000",IF(M18&lt;=10000,"1'001-10'000",IF(M18&lt;=100000,"10'001-100'000",IF(M18&lt;=1000000,"100'001-1'000'000",IF(M18&lt;=10000000,"1'000'001-10'000'000","'&gt;10'000'000")))))))</f>
        <v>'&gt;10'000'000</v>
      </c>
    </row>
    <row r="19" spans="1:14">
      <c r="A19" s="1" t="s">
        <v>15</v>
      </c>
      <c r="B19" s="1" t="s">
        <v>12</v>
      </c>
      <c r="C19" s="3">
        <f>Source!C20</f>
        <v>-100</v>
      </c>
      <c r="D19" s="3" t="str">
        <f t="shared" si="0"/>
        <v>negative</v>
      </c>
      <c r="E19" s="3">
        <f>Source!D20</f>
        <v>10</v>
      </c>
      <c r="F19" s="3" t="str">
        <f t="shared" si="0"/>
        <v>1-1000</v>
      </c>
      <c r="G19" s="3">
        <f>Source!E20</f>
        <v>10000000</v>
      </c>
      <c r="H19" s="3" t="str">
        <f t="shared" ref="H19" si="65">IF(G19&lt;-0.1,"negative",IF(G19&lt;=0.1,"zero",IF(G19&lt;=1000,"1-1000",IF(G19&lt;=10000,"1'001-10'000",IF(G19&lt;=100000,"10'001-100'000",IF(G19&lt;=1000000,"100'001-1'000'000",IF(G19&lt;=10000000,"1'000'001-10'000'000","'&gt;10'000'000")))))))</f>
        <v>1'000'001-10'000'000</v>
      </c>
      <c r="I19" s="1">
        <f>Source!F20</f>
        <v>10</v>
      </c>
      <c r="J19" s="3" t="str">
        <f t="shared" ref="J19" si="66">IF(I19&lt;-0.1,"negative",IF(I19&lt;=0.1,"zero",IF(I19&lt;=1000,"1-1000",IF(I19&lt;=10000,"1'001-10'000",IF(I19&lt;=100000,"10'001-100'000",IF(I19&lt;=1000000,"100'001-1'000'000",IF(I19&lt;=10000000,"1'000'001-10'000'000","'&gt;10'000'000")))))))</f>
        <v>1-1000</v>
      </c>
      <c r="K19" s="1">
        <f>Source!G20</f>
        <v>10</v>
      </c>
      <c r="L19" s="3" t="str">
        <f t="shared" ref="L19" si="67">IF(K19&lt;-0.1,"negative",IF(K19&lt;=0.1,"zero",IF(K19&lt;=1000,"1-1000",IF(K19&lt;=10000,"1'001-10'000",IF(K19&lt;=100000,"10'001-100'000",IF(K19&lt;=1000000,"100'001-1'000'000",IF(K19&lt;=10000000,"1'000'001-10'000'000","'&gt;10'000'000")))))))</f>
        <v>1-1000</v>
      </c>
      <c r="M19" s="1">
        <f>Source!H20</f>
        <v>19999930</v>
      </c>
      <c r="N19" s="3" t="str">
        <f t="shared" ref="N19" si="68">IF(M19&lt;-0.1,"negative",IF(M19&lt;=0.1,"zero",IF(M19&lt;=1000,"1-1000",IF(M19&lt;=10000,"1'001-10'000",IF(M19&lt;=100000,"10'001-100'000",IF(M19&lt;=1000000,"100'001-1'000'000",IF(M19&lt;=10000000,"1'000'001-10'000'000","'&gt;10'000'000")))))))</f>
        <v>'&gt;10'000'000</v>
      </c>
    </row>
    <row r="20" spans="1:14">
      <c r="A20" s="1" t="s">
        <v>22</v>
      </c>
      <c r="B20" s="1" t="s">
        <v>7</v>
      </c>
      <c r="C20" s="3">
        <f>Source!C21</f>
        <v>1</v>
      </c>
      <c r="D20" s="3" t="str">
        <f t="shared" si="0"/>
        <v>1-1000</v>
      </c>
      <c r="E20" s="3">
        <f>Source!D21</f>
        <v>1</v>
      </c>
      <c r="F20" s="3" t="str">
        <f t="shared" si="0"/>
        <v>1-1000</v>
      </c>
      <c r="G20" s="3">
        <f>Source!E21</f>
        <v>0</v>
      </c>
      <c r="H20" s="3" t="str">
        <f t="shared" ref="H20" si="69">IF(G20&lt;-0.1,"negative",IF(G20&lt;=0.1,"zero",IF(G20&lt;=1000,"1-1000",IF(G20&lt;=10000,"1'001-10'000",IF(G20&lt;=100000,"10'001-100'000",IF(G20&lt;=1000000,"100'001-1'000'000",IF(G20&lt;=10000000,"1'000'001-10'000'000","'&gt;10'000'000")))))))</f>
        <v>zero</v>
      </c>
      <c r="I20" s="1">
        <f>Source!F21</f>
        <v>1000</v>
      </c>
      <c r="J20" s="3" t="str">
        <f t="shared" ref="J20" si="70">IF(I20&lt;-0.1,"negative",IF(I20&lt;=0.1,"zero",IF(I20&lt;=1000,"1-1000",IF(I20&lt;=10000,"1'001-10'000",IF(I20&lt;=100000,"10'001-100'000",IF(I20&lt;=1000000,"100'001-1'000'000",IF(I20&lt;=10000000,"1'000'001-10'000'000","'&gt;10'000'000")))))))</f>
        <v>1-1000</v>
      </c>
      <c r="K20" s="1">
        <f>Source!G21</f>
        <v>10</v>
      </c>
      <c r="L20" s="3" t="str">
        <f t="shared" ref="L20" si="71">IF(K20&lt;-0.1,"negative",IF(K20&lt;=0.1,"zero",IF(K20&lt;=1000,"1-1000",IF(K20&lt;=10000,"1'001-10'000",IF(K20&lt;=100000,"10'001-100'000",IF(K20&lt;=1000000,"100'001-1'000'000",IF(K20&lt;=10000000,"1'000'001-10'000'000","'&gt;10'000'000")))))))</f>
        <v>1-1000</v>
      </c>
      <c r="M20" s="1">
        <f>Source!H21</f>
        <v>10001012</v>
      </c>
      <c r="N20" s="3" t="str">
        <f t="shared" ref="N20" si="72">IF(M20&lt;-0.1,"negative",IF(M20&lt;=0.1,"zero",IF(M20&lt;=1000,"1-1000",IF(M20&lt;=10000,"1'001-10'000",IF(M20&lt;=100000,"10'001-100'000",IF(M20&lt;=1000000,"100'001-1'000'000",IF(M20&lt;=10000000,"1'000'001-10'000'000","'&gt;10'000'000")))))))</f>
        <v>'&gt;10'000'000</v>
      </c>
    </row>
    <row r="21" spans="1:14">
      <c r="A21" s="1" t="s">
        <v>13</v>
      </c>
      <c r="B21" s="1" t="s">
        <v>12</v>
      </c>
      <c r="C21" s="3">
        <f>Source!C22</f>
        <v>10</v>
      </c>
      <c r="D21" s="3" t="str">
        <f t="shared" si="0"/>
        <v>1-1000</v>
      </c>
      <c r="E21" s="3">
        <f>Source!D22</f>
        <v>1000</v>
      </c>
      <c r="F21" s="3" t="str">
        <f t="shared" si="0"/>
        <v>1-1000</v>
      </c>
      <c r="G21" s="3">
        <f>Source!E22</f>
        <v>0</v>
      </c>
      <c r="H21" s="3" t="str">
        <f t="shared" ref="H21" si="73">IF(G21&lt;-0.1,"negative",IF(G21&lt;=0.1,"zero",IF(G21&lt;=1000,"1-1000",IF(G21&lt;=10000,"1'001-10'000",IF(G21&lt;=100000,"10'001-100'000",IF(G21&lt;=1000000,"100'001-1'000'000",IF(G21&lt;=10000000,"1'000'001-10'000'000","'&gt;10'000'000")))))))</f>
        <v>zero</v>
      </c>
      <c r="I21" s="1">
        <f>Source!F22</f>
        <v>100</v>
      </c>
      <c r="J21" s="3" t="str">
        <f t="shared" ref="J21" si="74">IF(I21&lt;-0.1,"negative",IF(I21&lt;=0.1,"zero",IF(I21&lt;=1000,"1-1000",IF(I21&lt;=10000,"1'001-10'000",IF(I21&lt;=100000,"10'001-100'000",IF(I21&lt;=1000000,"100'001-1'000'000",IF(I21&lt;=10000000,"1'000'001-10'000'000","'&gt;10'000'000")))))))</f>
        <v>1-1000</v>
      </c>
      <c r="K21" s="1">
        <f>Source!G22</f>
        <v>1</v>
      </c>
      <c r="L21" s="3" t="str">
        <f t="shared" ref="L21" si="75">IF(K21&lt;-0.1,"negative",IF(K21&lt;=0.1,"zero",IF(K21&lt;=1000,"1-1000",IF(K21&lt;=10000,"1'001-10'000",IF(K21&lt;=100000,"10'001-100'000",IF(K21&lt;=1000000,"100'001-1'000'000",IF(K21&lt;=10000000,"1'000'001-10'000'000","'&gt;10'000'000")))))))</f>
        <v>1-1000</v>
      </c>
      <c r="M21" s="1">
        <f>Source!H22</f>
        <v>10001111</v>
      </c>
      <c r="N21" s="3" t="str">
        <f t="shared" ref="N21" si="76">IF(M21&lt;-0.1,"negative",IF(M21&lt;=0.1,"zero",IF(M21&lt;=1000,"1-1000",IF(M21&lt;=10000,"1'001-10'000",IF(M21&lt;=100000,"10'001-100'000",IF(M21&lt;=1000000,"100'001-1'000'000",IF(M21&lt;=10000000,"1'000'001-10'000'000","'&gt;10'000'000")))))))</f>
        <v>'&gt;10'000'000</v>
      </c>
    </row>
    <row r="22" spans="1:14">
      <c r="A22" s="1" t="s">
        <v>14</v>
      </c>
      <c r="B22" s="1" t="s">
        <v>4</v>
      </c>
      <c r="C22" s="3">
        <f>Source!C23</f>
        <v>0</v>
      </c>
      <c r="D22" s="3" t="str">
        <f t="shared" si="0"/>
        <v>zero</v>
      </c>
      <c r="E22" s="3">
        <f>Source!D23</f>
        <v>0</v>
      </c>
      <c r="F22" s="3" t="str">
        <f t="shared" si="0"/>
        <v>zero</v>
      </c>
      <c r="G22" s="3">
        <f>Source!E23</f>
        <v>10</v>
      </c>
      <c r="H22" s="3" t="str">
        <f t="shared" ref="H22" si="77">IF(G22&lt;-0.1,"negative",IF(G22&lt;=0.1,"zero",IF(G22&lt;=1000,"1-1000",IF(G22&lt;=10000,"1'001-10'000",IF(G22&lt;=100000,"10'001-100'000",IF(G22&lt;=1000000,"100'001-1'000'000",IF(G22&lt;=10000000,"1'000'001-10'000'000","'&gt;10'000'000")))))))</f>
        <v>1-1000</v>
      </c>
      <c r="I22" s="1">
        <f>Source!F23</f>
        <v>1000</v>
      </c>
      <c r="J22" s="3" t="str">
        <f t="shared" ref="J22" si="78">IF(I22&lt;-0.1,"negative",IF(I22&lt;=0.1,"zero",IF(I22&lt;=1000,"1-1000",IF(I22&lt;=10000,"1'001-10'000",IF(I22&lt;=100000,"10'001-100'000",IF(I22&lt;=1000000,"100'001-1'000'000",IF(I22&lt;=10000000,"1'000'001-10'000'000","'&gt;10'000'000")))))))</f>
        <v>1-1000</v>
      </c>
      <c r="K22" s="1">
        <f>Source!G23</f>
        <v>10000</v>
      </c>
      <c r="L22" s="3" t="str">
        <f t="shared" ref="L22" si="79">IF(K22&lt;-0.1,"negative",IF(K22&lt;=0.1,"zero",IF(K22&lt;=1000,"1-1000",IF(K22&lt;=10000,"1'001-10'000",IF(K22&lt;=100000,"10'001-100'000",IF(K22&lt;=1000000,"100'001-1'000'000",IF(K22&lt;=10000000,"1'000'001-10'000'000","'&gt;10'000'000")))))))</f>
        <v>1'001-10'000</v>
      </c>
      <c r="M22" s="1">
        <f>Source!H23</f>
        <v>10011010</v>
      </c>
      <c r="N22" s="3" t="str">
        <f t="shared" ref="N22" si="80">IF(M22&lt;-0.1,"negative",IF(M22&lt;=0.1,"zero",IF(M22&lt;=1000,"1-1000",IF(M22&lt;=10000,"1'001-10'000",IF(M22&lt;=100000,"10'001-100'000",IF(M22&lt;=1000000,"100'001-1'000'000",IF(M22&lt;=10000000,"1'000'001-10'000'000","'&gt;10'000'000")))))))</f>
        <v>'&gt;10'000'000</v>
      </c>
    </row>
    <row r="23" spans="1:14">
      <c r="D23" s="3"/>
      <c r="F23" s="3"/>
      <c r="H23" s="3"/>
      <c r="J23" s="3"/>
      <c r="L23" s="3"/>
      <c r="N23" s="3"/>
    </row>
  </sheetData>
  <sortState ref="A3:C23">
    <sortCondition ref="C3:C23"/>
    <sortCondition ref="B3:B23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2:M38"/>
  <sheetViews>
    <sheetView workbookViewId="0">
      <selection activeCell="L33" sqref="L33:L37"/>
    </sheetView>
  </sheetViews>
  <sheetFormatPr baseColWidth="10" defaultRowHeight="15"/>
  <cols>
    <col min="1" max="1" width="18.140625" style="1" bestFit="1" customWidth="1"/>
    <col min="2" max="2" width="11.42578125" style="2"/>
    <col min="3" max="10" width="19.85546875" style="1" customWidth="1"/>
    <col min="11" max="11" width="11.42578125" style="1"/>
    <col min="12" max="12" width="18.5703125" style="1" bestFit="1" customWidth="1"/>
    <col min="13" max="13" width="12" style="1" bestFit="1" customWidth="1"/>
    <col min="14" max="16384" width="11.42578125" style="1"/>
  </cols>
  <sheetData>
    <row r="2" spans="1:13">
      <c r="C2" s="3" t="s">
        <v>54</v>
      </c>
      <c r="D2" s="3" t="s">
        <v>36</v>
      </c>
      <c r="E2" s="3" t="s">
        <v>55</v>
      </c>
      <c r="F2" s="3" t="s">
        <v>84</v>
      </c>
      <c r="G2" s="3" t="s">
        <v>82</v>
      </c>
      <c r="H2" s="3" t="s">
        <v>83</v>
      </c>
      <c r="I2" s="3" t="s">
        <v>86</v>
      </c>
      <c r="J2" s="3" t="s">
        <v>85</v>
      </c>
      <c r="K2" s="1" t="s">
        <v>91</v>
      </c>
      <c r="L2" s="3"/>
      <c r="M2" s="3"/>
    </row>
    <row r="3" spans="1:13">
      <c r="A3" s="1" t="s">
        <v>37</v>
      </c>
      <c r="B3" s="2" t="s">
        <v>43</v>
      </c>
      <c r="C3" s="8">
        <f>COUNTIFS(Bin!$B$2:$B$22,"=E",Bin!$D$2:$D$22,"negative")</f>
        <v>0</v>
      </c>
      <c r="D3" s="8">
        <f>COUNTIFS(Bin!$B$2:$B$22,"=E",Bin!$D$2:$D$22,"zero")</f>
        <v>0</v>
      </c>
      <c r="E3" s="8">
        <f>COUNTIFS(Bin!$B$2:$B$22,"=E",Bin!$D$2:$D$22,"1-1000")</f>
        <v>3</v>
      </c>
      <c r="F3" s="8">
        <f>COUNTIFS(Bin!$B$2:$B$22,"=E",Bin!$D$2:$D$22,"1'001-10'000")</f>
        <v>0</v>
      </c>
      <c r="G3" s="8">
        <f>COUNTIFS(Bin!$B$2:$B$22,"=E",Bin!$D$2:$D$22,"10'001-100'000")</f>
        <v>1</v>
      </c>
      <c r="H3" s="8">
        <f>COUNTIFS(Bin!$B$2:$B$22,"=E",Bin!$D$2:$D$22,"100'001-1'000'000")</f>
        <v>0</v>
      </c>
      <c r="I3" s="8">
        <f>COUNTIFS(Bin!$B$2:$B$22,"=E",Bin!$D$2:$D$22,"1'000'001-10'000'000")</f>
        <v>0</v>
      </c>
      <c r="J3" s="8">
        <f>COUNTIFS(Bin!$B$2:$B$22,"=E",Bin!$D$2:$D$22,"'&gt;10'000'000")</f>
        <v>0</v>
      </c>
      <c r="K3" s="8">
        <f>SUM(C3:J3)</f>
        <v>4</v>
      </c>
      <c r="L3" s="3"/>
      <c r="M3" s="3"/>
    </row>
    <row r="4" spans="1:13">
      <c r="B4" s="2" t="s">
        <v>44</v>
      </c>
      <c r="C4" s="8">
        <f>COUNTIFS(Bin!$B$2:$B$22,"=P",Bin!$D$2:$D$22,"negative")</f>
        <v>0</v>
      </c>
      <c r="D4" s="8">
        <f>COUNTIFS(Bin!$B$2:$B$22,"=P",Bin!$D$2:$D$22,"zero")</f>
        <v>0</v>
      </c>
      <c r="E4" s="8">
        <f>COUNTIFS(Bin!$B$2:$B$22,"=P",Bin!$D$2:$D$22,"1-1000")</f>
        <v>2</v>
      </c>
      <c r="F4" s="8">
        <f>COUNTIFS(Bin!$B$2:$B$22,"=P",Bin!$D$2:$D$22,"1'001-10'000")</f>
        <v>1</v>
      </c>
      <c r="G4" s="8">
        <f>COUNTIFS(Bin!$B$2:$B$22,"=P",Bin!$D$2:$D$22,"10'001-100'000")</f>
        <v>0</v>
      </c>
      <c r="H4" s="8">
        <f>COUNTIFS(Bin!$B$2:$B$22,"=P",Bin!$D$2:$D$22,"100'001-1'000'000")</f>
        <v>0</v>
      </c>
      <c r="I4" s="8">
        <f>COUNTIFS(Bin!$B$2:$B$22,"=P",Bin!$D$2:$D$22,"1'000'001-10'000'000")</f>
        <v>0</v>
      </c>
      <c r="J4" s="8">
        <f>COUNTIFS(Bin!$B$2:$B$22,"=P",Bin!$D$2:$D$22,"'&gt;10'000'000")</f>
        <v>1</v>
      </c>
      <c r="K4" s="8">
        <f t="shared" ref="K4:K8" si="0">SUM(C4:J4)</f>
        <v>4</v>
      </c>
      <c r="L4" s="3"/>
      <c r="M4" s="3"/>
    </row>
    <row r="5" spans="1:13">
      <c r="B5" s="2" t="s">
        <v>45</v>
      </c>
      <c r="C5" s="8">
        <f>COUNTIFS(Bin!$B$2:$B$22,"=A",Bin!$D$2:$D$22,"negative")</f>
        <v>0</v>
      </c>
      <c r="D5" s="8">
        <f>COUNTIFS(Bin!$B$2:$B$22,"=A",Bin!$D$2:$D$22,"zero")</f>
        <v>1</v>
      </c>
      <c r="E5" s="8">
        <f>COUNTIFS(Bin!$B$2:$B$22,"=A",Bin!$D$2:$D$22,"1-1000")</f>
        <v>3</v>
      </c>
      <c r="F5" s="8">
        <f>COUNTIFS(Bin!$B$2:$B$22,"=A",Bin!$D$2:$D$22,"1'001-10'000")</f>
        <v>1</v>
      </c>
      <c r="G5" s="8">
        <f>COUNTIFS(Bin!$B$2:$B$22,"=A",Bin!$D$2:$D$22,"10'001-100'000")</f>
        <v>0</v>
      </c>
      <c r="H5" s="8">
        <f>COUNTIFS(Bin!$B$2:$B$22,"=A",Bin!$D$2:$D$22,"100'001-1'000'000")</f>
        <v>0</v>
      </c>
      <c r="I5" s="8">
        <f>COUNTIFS(Bin!$B$2:$B$22,"=A",Bin!$D$2:$D$22,"1'000'001-10'000'000")</f>
        <v>1</v>
      </c>
      <c r="J5" s="8">
        <f>COUNTIFS(Bin!$B$2:$B$22,"=A",Bin!$D$2:$D$22,"'&gt;10'000'000")</f>
        <v>0</v>
      </c>
      <c r="K5" s="8">
        <f t="shared" si="0"/>
        <v>6</v>
      </c>
      <c r="L5" s="3"/>
      <c r="M5" s="3"/>
    </row>
    <row r="6" spans="1:13">
      <c r="B6" s="2" t="s">
        <v>46</v>
      </c>
      <c r="C6" s="8">
        <f>COUNTIFS(Bin!$B$2:$B$22,"=T",Bin!$D$2:$D$22,"negative")</f>
        <v>0</v>
      </c>
      <c r="D6" s="8">
        <f>COUNTIFS(Bin!$B$2:$B$22,"=T",Bin!$D$2:$D$22,"zero")</f>
        <v>1</v>
      </c>
      <c r="E6" s="8">
        <f>COUNTIFS(Bin!$B$2:$B$22,"=T",Bin!$D$2:$D$22,"1-1000")</f>
        <v>3</v>
      </c>
      <c r="F6" s="8">
        <f>COUNTIFS(Bin!$B$2:$B$22,"=T",Bin!$D$2:$D$22,"1'001-10'000")</f>
        <v>0</v>
      </c>
      <c r="G6" s="8">
        <f>COUNTIFS(Bin!$B$2:$B$22,"=T",Bin!$D$2:$D$22,"10'001-100'000")</f>
        <v>0</v>
      </c>
      <c r="H6" s="8">
        <f>COUNTIFS(Bin!$B$2:$B$22,"=T",Bin!$D$2:$D$22,"100'001-1'000'000")</f>
        <v>0</v>
      </c>
      <c r="I6" s="8">
        <f>COUNTIFS(Bin!$B$2:$B$22,"=T",Bin!$D$2:$D$22,"1'000'001-10'000'000")</f>
        <v>0</v>
      </c>
      <c r="J6" s="8">
        <f>COUNTIFS(Bin!$B$2:$B$22,"=T",Bin!$D$2:$D$22,"'&gt;10'000'000")</f>
        <v>0</v>
      </c>
      <c r="K6" s="8">
        <f t="shared" si="0"/>
        <v>4</v>
      </c>
      <c r="L6" s="3"/>
      <c r="M6" s="3"/>
    </row>
    <row r="7" spans="1:13">
      <c r="B7" s="2" t="s">
        <v>47</v>
      </c>
      <c r="C7" s="8">
        <f>COUNTIFS(Bin!$B$2:$B$22,"=C",Bin!$D$2:$D$22,"negative")</f>
        <v>1</v>
      </c>
      <c r="D7" s="8">
        <f>COUNTIFS(Bin!$B$2:$B$22,"=C",Bin!$D$2:$D$22,"zero")</f>
        <v>0</v>
      </c>
      <c r="E7" s="8">
        <f>COUNTIFS(Bin!$B$2:$B$22,"=C",Bin!$D$2:$D$22,"1-1000")</f>
        <v>2</v>
      </c>
      <c r="F7" s="8">
        <f>COUNTIFS(Bin!$B$2:$B$22,"=C",Bin!$D$2:$D$22,"1'001-10'000")</f>
        <v>0</v>
      </c>
      <c r="G7" s="8">
        <f>COUNTIFS(Bin!$B$2:$B$22,"=C",Bin!$D$2:$D$22,"10'001-100'000")</f>
        <v>0</v>
      </c>
      <c r="H7" s="8">
        <f>COUNTIFS(Bin!$B$2:$B$22,"=C",Bin!$D$2:$D$22,"100'001-1'000'000")</f>
        <v>0</v>
      </c>
      <c r="I7" s="8">
        <f>COUNTIFS(Bin!$B$2:$B$22,"=C",Bin!$D$2:$D$22,"1'000'001-10'000'000")</f>
        <v>0</v>
      </c>
      <c r="J7" s="8">
        <f>COUNTIFS(Bin!$B$2:$B$22,"=C",Bin!$D$2:$D$22,"'&gt;10'000'000")</f>
        <v>0</v>
      </c>
      <c r="K7" s="8">
        <f t="shared" si="0"/>
        <v>3</v>
      </c>
      <c r="L7" s="3"/>
      <c r="M7" s="3"/>
    </row>
    <row r="8" spans="1:13">
      <c r="B8" s="2" t="s">
        <v>42</v>
      </c>
      <c r="C8" s="8">
        <f>SUM(C3:C7)</f>
        <v>1</v>
      </c>
      <c r="D8" s="8">
        <f t="shared" ref="D8:J8" si="1">SUM(D3:D7)</f>
        <v>2</v>
      </c>
      <c r="E8" s="8">
        <f t="shared" si="1"/>
        <v>13</v>
      </c>
      <c r="F8" s="8">
        <f t="shared" si="1"/>
        <v>2</v>
      </c>
      <c r="G8" s="8">
        <f t="shared" si="1"/>
        <v>1</v>
      </c>
      <c r="H8" s="8">
        <f t="shared" si="1"/>
        <v>0</v>
      </c>
      <c r="I8" s="8">
        <f t="shared" si="1"/>
        <v>1</v>
      </c>
      <c r="J8" s="8">
        <f t="shared" si="1"/>
        <v>1</v>
      </c>
      <c r="K8" s="8">
        <f t="shared" si="0"/>
        <v>21</v>
      </c>
      <c r="L8" s="3"/>
      <c r="M8" s="3"/>
    </row>
    <row r="9" spans="1:13">
      <c r="A9" s="1" t="s">
        <v>40</v>
      </c>
      <c r="B9" s="2" t="s">
        <v>48</v>
      </c>
      <c r="C9" s="3">
        <f>COUNTIFS(Bin!$B$2:$B$22,"=E",Bin!$F$2:$F$22,"negative")</f>
        <v>0</v>
      </c>
      <c r="D9" s="3">
        <f>COUNTIFS(Bin!$B$2:$B$22,"=E",Bin!$F$2:$F$22,"zero")</f>
        <v>0</v>
      </c>
      <c r="E9" s="3">
        <f>COUNTIFS(Bin!$B$2:$B$22,"=E",Bin!$F$2:$F$22,"1-1000")</f>
        <v>3</v>
      </c>
      <c r="F9" s="3">
        <f>COUNTIFS(Bin!$B$2:$B$22,"=E",Bin!$F$2:$F$22,"1'001-10'000")</f>
        <v>0</v>
      </c>
      <c r="G9" s="3">
        <f>COUNTIFS(Bin!$B$2:$B$22,"=E",Bin!$F$2:$F$22,"10'001-100'000")</f>
        <v>1</v>
      </c>
      <c r="H9" s="3">
        <f>COUNTIFS(Bin!$B$2:$B$22,"=E",Bin!$F$2:$F$22,"100'001-1'000'000")</f>
        <v>0</v>
      </c>
      <c r="I9" s="3">
        <f>COUNTIFS(Bin!$B$2:$B$22,"=E",Bin!$F$2:$F$22,"1'000'001-10'000'000")</f>
        <v>0</v>
      </c>
      <c r="J9" s="3">
        <f>COUNTIFS(Bin!$B$2:$B$22,"=E",Bin!$F$2:$F$22,"'&gt;10'000'000")</f>
        <v>0</v>
      </c>
      <c r="K9" s="3">
        <f>SUM(C9:J9)</f>
        <v>4</v>
      </c>
      <c r="L9" s="3"/>
      <c r="M9" s="3"/>
    </row>
    <row r="10" spans="1:13">
      <c r="B10" s="2" t="s">
        <v>49</v>
      </c>
      <c r="C10" s="3">
        <f>COUNTIFS(Bin!$B$2:$B$22,"=P",Bin!$F$2:$F$22,"negative")</f>
        <v>1</v>
      </c>
      <c r="D10" s="3">
        <f>COUNTIFS(Bin!$B$2:$B$22,"=P",Bin!$F$2:$F$22,"zero")</f>
        <v>2</v>
      </c>
      <c r="E10" s="3">
        <f>COUNTIFS(Bin!$B$2:$B$22,"=P",Bin!$F$2:$F$22,"1-1000")</f>
        <v>1</v>
      </c>
      <c r="F10" s="3">
        <f>COUNTIFS(Bin!$B$2:$B$22,"=P",Bin!$F$2:$F$22,"1'001-10'000")</f>
        <v>0</v>
      </c>
      <c r="G10" s="3">
        <f>COUNTIFS(Bin!$B$2:$B$22,"=P",Bin!$F$2:$F$22,"10'001-100'000")</f>
        <v>0</v>
      </c>
      <c r="H10" s="3">
        <f>COUNTIFS(Bin!$B$2:$B$22,"=P",Bin!$F$2:$F$22,"100'001-1'000'000")</f>
        <v>0</v>
      </c>
      <c r="I10" s="3">
        <f>COUNTIFS(Bin!$B$2:$B$22,"=P",Bin!$F$2:$F$22,"1'000'001-10'000'000")</f>
        <v>0</v>
      </c>
      <c r="J10" s="3">
        <f>COUNTIFS(Bin!$B$2:$B$22,"=P",Bin!$F$2:$F$22,"'&gt;10'000'000")</f>
        <v>0</v>
      </c>
      <c r="K10" s="3">
        <f t="shared" ref="K10:K14" si="2">SUM(C10:J10)</f>
        <v>4</v>
      </c>
    </row>
    <row r="11" spans="1:13">
      <c r="B11" s="2" t="s">
        <v>50</v>
      </c>
      <c r="C11" s="3">
        <f>COUNTIFS(Bin!$B$2:$B$22,"=A",Bin!$F$2:$F$22,"negative")</f>
        <v>0</v>
      </c>
      <c r="D11" s="3">
        <f>COUNTIFS(Bin!$B$2:$B$22,"=A",Bin!$F$2:$F$22,"zero")</f>
        <v>1</v>
      </c>
      <c r="E11" s="3">
        <f>COUNTIFS(Bin!$B$2:$B$22,"=A",Bin!$F$2:$F$22,"1-1000")</f>
        <v>2</v>
      </c>
      <c r="F11" s="3">
        <f>COUNTIFS(Bin!$B$2:$B$22,"=A",Bin!$F$2:$F$22,"1'001-10'000")</f>
        <v>1</v>
      </c>
      <c r="G11" s="3">
        <f>COUNTIFS(Bin!$B$2:$B$22,"=A",Bin!$F$2:$F$22,"10'001-100'000")</f>
        <v>1</v>
      </c>
      <c r="H11" s="3">
        <f>COUNTIFS(Bin!$B$2:$B$22,"=A",Bin!$F$2:$F$22,"100'001-1'000'000")</f>
        <v>0</v>
      </c>
      <c r="I11" s="3">
        <f>COUNTIFS(Bin!$B$2:$B$22,"=A",Bin!$F$2:$F$22,"1'000'001-10'000'000")</f>
        <v>0</v>
      </c>
      <c r="J11" s="3">
        <f>COUNTIFS(Bin!$B$2:$B$22,"=A",Bin!$F$2:$F$22,"'&gt;10'000'000")</f>
        <v>1</v>
      </c>
      <c r="K11" s="3">
        <f t="shared" si="2"/>
        <v>6</v>
      </c>
    </row>
    <row r="12" spans="1:13">
      <c r="B12" s="2" t="s">
        <v>51</v>
      </c>
      <c r="C12" s="3">
        <f>COUNTIFS(Bin!$B$2:$B$22,"=T",Bin!$F$2:$F$22,"negative")</f>
        <v>0</v>
      </c>
      <c r="D12" s="3">
        <f>COUNTIFS(Bin!$B$2:$B$22,"=T",Bin!$F$2:$F$22,"zero")</f>
        <v>1</v>
      </c>
      <c r="E12" s="3">
        <f>COUNTIFS(Bin!$B$2:$B$22,"=T",Bin!$F$2:$F$22,"1-1000")</f>
        <v>1</v>
      </c>
      <c r="F12" s="3">
        <f>COUNTIFS(Bin!$B$2:$B$22,"=T",Bin!$F$2:$F$22,"1'001-10'000")</f>
        <v>0</v>
      </c>
      <c r="G12" s="3">
        <f>COUNTIFS(Bin!$B$2:$B$22,"=T",Bin!$F$2:$F$22,"10'001-100'000")</f>
        <v>1</v>
      </c>
      <c r="H12" s="3">
        <f>COUNTIFS(Bin!$B$2:$B$22,"=T",Bin!$F$2:$F$22,"100'001-1'000'000")</f>
        <v>1</v>
      </c>
      <c r="I12" s="3">
        <f>COUNTIFS(Bin!$B$2:$B$22,"=T",Bin!$F$2:$F$22,"1'000'001-10'000'000")</f>
        <v>0</v>
      </c>
      <c r="J12" s="3">
        <f>COUNTIFS(Bin!$B$2:$B$22,"=T",Bin!$F$2:$F$22,"'&gt;10'000'000")</f>
        <v>0</v>
      </c>
      <c r="K12" s="3">
        <f t="shared" si="2"/>
        <v>4</v>
      </c>
    </row>
    <row r="13" spans="1:13">
      <c r="B13" s="2" t="s">
        <v>52</v>
      </c>
      <c r="C13" s="3">
        <f>COUNTIFS(Bin!$B$2:$B$22,"=C",Bin!$F$2:$F$22,"negative")</f>
        <v>0</v>
      </c>
      <c r="D13" s="3">
        <f>COUNTIFS(Bin!$B$2:$B$22,"=C",Bin!$F$2:$F$22,"zero")</f>
        <v>0</v>
      </c>
      <c r="E13" s="3">
        <f>COUNTIFS(Bin!$B$2:$B$22,"=C",Bin!$F$2:$F$22,"1-1000")</f>
        <v>3</v>
      </c>
      <c r="F13" s="3">
        <f>COUNTIFS(Bin!$B$2:$B$22,"=C",Bin!$F$2:$F$22,"1'001-10'000")</f>
        <v>0</v>
      </c>
      <c r="G13" s="3">
        <f>COUNTIFS(Bin!$B$2:$B$22,"=C",Bin!$F$2:$F$22,"10'001-100'000")</f>
        <v>0</v>
      </c>
      <c r="H13" s="3">
        <f>COUNTIFS(Bin!$B$2:$B$22,"=C",Bin!$F$2:$F$22,"100'001-1'000'000")</f>
        <v>0</v>
      </c>
      <c r="I13" s="3">
        <f>COUNTIFS(Bin!$B$2:$B$22,"=C",Bin!$F$2:$F$22,"1'000'001-10'000'000")</f>
        <v>0</v>
      </c>
      <c r="J13" s="3">
        <f>COUNTIFS(Bin!$B$2:$B$22,"=C",Bin!$F$2:$F$22,"'&gt;10'000'000")</f>
        <v>0</v>
      </c>
      <c r="K13" s="3">
        <f t="shared" si="2"/>
        <v>3</v>
      </c>
    </row>
    <row r="14" spans="1:13">
      <c r="B14" s="2" t="s">
        <v>53</v>
      </c>
      <c r="C14" s="3">
        <f>SUM(C9:C13)</f>
        <v>1</v>
      </c>
      <c r="D14" s="3">
        <f t="shared" ref="D14" si="3">SUM(D9:D13)</f>
        <v>4</v>
      </c>
      <c r="E14" s="3">
        <f t="shared" ref="E14" si="4">SUM(E9:E13)</f>
        <v>10</v>
      </c>
      <c r="F14" s="3">
        <f t="shared" ref="F14" si="5">SUM(F9:F13)</f>
        <v>1</v>
      </c>
      <c r="G14" s="3">
        <f t="shared" ref="G14" si="6">SUM(G9:G13)</f>
        <v>3</v>
      </c>
      <c r="H14" s="3">
        <f t="shared" ref="H14" si="7">SUM(H9:H13)</f>
        <v>1</v>
      </c>
      <c r="I14" s="3">
        <f t="shared" ref="I14" si="8">SUM(I9:I13)</f>
        <v>0</v>
      </c>
      <c r="J14" s="3">
        <f t="shared" ref="J14" si="9">SUM(J9:J13)</f>
        <v>1</v>
      </c>
      <c r="K14" s="3">
        <f t="shared" si="2"/>
        <v>21</v>
      </c>
    </row>
    <row r="15" spans="1:13">
      <c r="A15" s="1" t="s">
        <v>41</v>
      </c>
      <c r="B15" s="2" t="s">
        <v>56</v>
      </c>
      <c r="C15" s="8">
        <f>COUNTIFS(Bin!$B$2:$B$22,"=E",Bin!$H$2:$H$22,"negative")</f>
        <v>0</v>
      </c>
      <c r="D15" s="8">
        <f>COUNTIFS(Bin!$B$2:$B$22,"=E",Bin!$H$2:$H$22,"zero")</f>
        <v>1</v>
      </c>
      <c r="E15" s="8">
        <f>COUNTIFS(Bin!$B$2:$B$22,"=E",Bin!$H$2:$H$22,"1-1000")</f>
        <v>3</v>
      </c>
      <c r="F15" s="8">
        <f>COUNTIFS(Bin!$B$2:$B$22,"=E",Bin!$H$2:$H$22,"1'001-10'000")</f>
        <v>0</v>
      </c>
      <c r="G15" s="8">
        <f>COUNTIFS(Bin!$B$2:$B$22,"=E",Bin!$H$2:$H$22,"10'001-100'000")</f>
        <v>0</v>
      </c>
      <c r="H15" s="8">
        <f>COUNTIFS(Bin!$B$2:$B$22,"=E",Bin!$H$2:$H$22,"100'001-1'000'000")</f>
        <v>0</v>
      </c>
      <c r="I15" s="8">
        <f>COUNTIFS(Bin!$B$2:$B$22,"=E",Bin!$H$2:$H$22,"1'000'001-10'000'000")</f>
        <v>0</v>
      </c>
      <c r="J15" s="8">
        <f>COUNTIFS(Bin!$B$2:$B$22,"=E",Bin!$H$2:$H$22,"'&gt;10'000'000")</f>
        <v>0</v>
      </c>
      <c r="K15" s="8">
        <f>SUM(C15:J15)</f>
        <v>4</v>
      </c>
    </row>
    <row r="16" spans="1:13">
      <c r="B16" s="2" t="s">
        <v>57</v>
      </c>
      <c r="C16" s="8">
        <f>COUNTIFS(Bin!$B$2:$B$22,"=P",Bin!$H$2:$H$22,"negative")</f>
        <v>0</v>
      </c>
      <c r="D16" s="8">
        <f>COUNTIFS(Bin!$B$2:$B$22,"=P",Bin!$H$2:$H$22,"zero")</f>
        <v>0</v>
      </c>
      <c r="E16" s="8">
        <f>COUNTIFS(Bin!$B$2:$B$22,"=P",Bin!$H$2:$H$22,"1-1000")</f>
        <v>3</v>
      </c>
      <c r="F16" s="8">
        <f>COUNTIFS(Bin!$B$2:$B$22,"=P",Bin!$H$2:$H$22,"1'001-10'000")</f>
        <v>0</v>
      </c>
      <c r="G16" s="8">
        <f>COUNTIFS(Bin!$B$2:$B$22,"=P",Bin!$H$2:$H$22,"10'001-100'000")</f>
        <v>0</v>
      </c>
      <c r="H16" s="8">
        <f>COUNTIFS(Bin!$B$2:$B$22,"=P",Bin!$H$2:$H$22,"100'001-1'000'000")</f>
        <v>1</v>
      </c>
      <c r="I16" s="8">
        <f>COUNTIFS(Bin!$B$2:$B$22,"=P",Bin!$H$2:$H$22,"1'000'001-10'000'000")</f>
        <v>0</v>
      </c>
      <c r="J16" s="8">
        <f>COUNTIFS(Bin!$B$2:$B$22,"=P",Bin!$H$2:$H$22,"'&gt;10'000'000")</f>
        <v>0</v>
      </c>
      <c r="K16" s="8">
        <f t="shared" ref="K16:K20" si="10">SUM(C16:J16)</f>
        <v>4</v>
      </c>
    </row>
    <row r="17" spans="1:12">
      <c r="B17" s="2" t="s">
        <v>58</v>
      </c>
      <c r="C17" s="8">
        <f>COUNTIFS(Bin!$B$2:$B$22,"=A",Bin!$H$2:$H$22,"negative")</f>
        <v>0</v>
      </c>
      <c r="D17" s="8">
        <f>COUNTIFS(Bin!$B$2:$B$22,"=A",Bin!$H$2:$H$22,"zero")</f>
        <v>0</v>
      </c>
      <c r="E17" s="8">
        <f>COUNTIFS(Bin!$B$2:$B$22,"=A",Bin!$H$2:$H$22,"1-1000")</f>
        <v>5</v>
      </c>
      <c r="F17" s="8">
        <f>COUNTIFS(Bin!$B$2:$B$22,"=A",Bin!$H$2:$H$22,"1'001-10'000")</f>
        <v>0</v>
      </c>
      <c r="G17" s="8">
        <f>COUNTIFS(Bin!$B$2:$B$22,"=A",Bin!$H$2:$H$22,"10'001-100'000")</f>
        <v>1</v>
      </c>
      <c r="H17" s="8">
        <f>COUNTIFS(Bin!$B$2:$B$22,"=A",Bin!$H$2:$H$22,"100'001-1'000'000")</f>
        <v>0</v>
      </c>
      <c r="I17" s="8">
        <f>COUNTIFS(Bin!$B$2:$B$22,"=A",Bin!$H$2:$H$22,"1'000'001-10'000'000")</f>
        <v>0</v>
      </c>
      <c r="J17" s="8">
        <f>COUNTIFS(Bin!$B$2:$B$22,"=A",Bin!$H$2:$H$22,"'&gt;10'000'000")</f>
        <v>0</v>
      </c>
      <c r="K17" s="8">
        <f t="shared" si="10"/>
        <v>6</v>
      </c>
    </row>
    <row r="18" spans="1:12">
      <c r="B18" s="2" t="s">
        <v>59</v>
      </c>
      <c r="C18" s="8">
        <f>COUNTIFS(Bin!$B$2:$B$22,"=T",Bin!$H$2:$H$22,"negative")</f>
        <v>0</v>
      </c>
      <c r="D18" s="8">
        <f>COUNTIFS(Bin!$B$2:$B$22,"=T",Bin!$H$2:$H$22,"zero")</f>
        <v>1</v>
      </c>
      <c r="E18" s="8">
        <f>COUNTIFS(Bin!$B$2:$B$22,"=T",Bin!$H$2:$H$22,"1-1000")</f>
        <v>2</v>
      </c>
      <c r="F18" s="8">
        <f>COUNTIFS(Bin!$B$2:$B$22,"=T",Bin!$H$2:$H$22,"1'001-10'000")</f>
        <v>0</v>
      </c>
      <c r="G18" s="8">
        <f>COUNTIFS(Bin!$B$2:$B$22,"=T",Bin!$H$2:$H$22,"10'001-100'000")</f>
        <v>1</v>
      </c>
      <c r="H18" s="8">
        <f>COUNTIFS(Bin!$B$2:$B$22,"=T",Bin!$H$2:$H$22,"100'001-1'000'000")</f>
        <v>0</v>
      </c>
      <c r="I18" s="8">
        <f>COUNTIFS(Bin!$B$2:$B$22,"=T",Bin!$H$2:$H$22,"1'000'001-10'000'000")</f>
        <v>0</v>
      </c>
      <c r="J18" s="8">
        <f>COUNTIFS(Bin!$B$2:$B$22,"=T",Bin!$H$2:$H$22,"'&gt;10'000'000")</f>
        <v>0</v>
      </c>
      <c r="K18" s="8">
        <f t="shared" si="10"/>
        <v>4</v>
      </c>
    </row>
    <row r="19" spans="1:12">
      <c r="B19" s="2" t="s">
        <v>60</v>
      </c>
      <c r="C19" s="8">
        <f>COUNTIFS(Bin!$B$2:$B$22,"=C",Bin!$H$2:$H$22,"negative")</f>
        <v>1</v>
      </c>
      <c r="D19" s="8">
        <f>COUNTIFS(Bin!$B$2:$B$22,"=C",Bin!$H$2:$H$22,"zero")</f>
        <v>1</v>
      </c>
      <c r="E19" s="8">
        <f>COUNTIFS(Bin!$B$2:$B$22,"=C",Bin!$H$2:$H$22,"1-1000")</f>
        <v>0</v>
      </c>
      <c r="F19" s="8">
        <f>COUNTIFS(Bin!$B$2:$B$22,"=C",Bin!$H$2:$H$22,"1'001-10'000")</f>
        <v>0</v>
      </c>
      <c r="G19" s="8">
        <f>COUNTIFS(Bin!$B$2:$B$22,"=C",Bin!$H$2:$H$22,"10'001-100'000")</f>
        <v>0</v>
      </c>
      <c r="H19" s="8">
        <f>COUNTIFS(Bin!$B$2:$B$22,"=C",Bin!$H$2:$H$22,"100'001-1'000'000")</f>
        <v>0</v>
      </c>
      <c r="I19" s="8">
        <f>COUNTIFS(Bin!$B$2:$B$22,"=C",Bin!$H$2:$H$22,"1'000'001-10'000'000")</f>
        <v>1</v>
      </c>
      <c r="J19" s="8">
        <f>COUNTIFS(Bin!$B$2:$B$22,"=C",Bin!$H$2:$H$22,"'&gt;10'000'000")</f>
        <v>0</v>
      </c>
      <c r="K19" s="8">
        <f t="shared" si="10"/>
        <v>3</v>
      </c>
    </row>
    <row r="20" spans="1:12">
      <c r="B20" s="2" t="s">
        <v>61</v>
      </c>
      <c r="C20" s="8">
        <f>SUM(C15:C19)</f>
        <v>1</v>
      </c>
      <c r="D20" s="8">
        <f t="shared" ref="D20" si="11">SUM(D15:D19)</f>
        <v>3</v>
      </c>
      <c r="E20" s="8">
        <f t="shared" ref="E20" si="12">SUM(E15:E19)</f>
        <v>13</v>
      </c>
      <c r="F20" s="8">
        <f t="shared" ref="F20" si="13">SUM(F15:F19)</f>
        <v>0</v>
      </c>
      <c r="G20" s="8">
        <f t="shared" ref="G20" si="14">SUM(G15:G19)</f>
        <v>2</v>
      </c>
      <c r="H20" s="8">
        <f t="shared" ref="H20" si="15">SUM(H15:H19)</f>
        <v>1</v>
      </c>
      <c r="I20" s="8">
        <f t="shared" ref="I20" si="16">SUM(I15:I19)</f>
        <v>1</v>
      </c>
      <c r="J20" s="8">
        <f t="shared" ref="J20" si="17">SUM(J15:J19)</f>
        <v>0</v>
      </c>
      <c r="K20" s="8">
        <f t="shared" si="10"/>
        <v>21</v>
      </c>
      <c r="L20" s="1" t="s">
        <v>92</v>
      </c>
    </row>
    <row r="21" spans="1:12">
      <c r="A21" s="1" t="s">
        <v>87</v>
      </c>
      <c r="B21" s="2" t="s">
        <v>62</v>
      </c>
      <c r="C21" s="9">
        <f>COUNTIFS(Bin!$B$2:$B$22,"=E",Bin!$D$2:$D$22,"negative")</f>
        <v>0</v>
      </c>
      <c r="D21" s="9">
        <f>COUNTIFS(Bin!$B$2:$B$22,"=E",Bin!$D$2:$D$22,"zero")</f>
        <v>0</v>
      </c>
      <c r="E21" s="9">
        <f>COUNTIFS(Bin!$B$2:$B$22,"=E",Bin!$D$2:$D$22,"1-1000")</f>
        <v>3</v>
      </c>
      <c r="F21" s="9">
        <f>COUNTIFS(Bin!$B$2:$B$22,"=E",Bin!$D$2:$D$22,"1'001-10'000")</f>
        <v>0</v>
      </c>
      <c r="G21" s="9">
        <f>COUNTIFS(Bin!$B$2:$B$22,"=E",Bin!$D$2:$D$22,"10'001-100'000")</f>
        <v>1</v>
      </c>
      <c r="H21" s="9">
        <f>COUNTIFS(Bin!$B$2:$B$22,"=E",Bin!$D$2:$D$22,"100'001-1'000'000")</f>
        <v>0</v>
      </c>
      <c r="I21" s="9">
        <f>COUNTIFS(Bin!$B$2:$B$22,"=E",Bin!$D$2:$D$22,"1'000'001-10'000'000")</f>
        <v>0</v>
      </c>
      <c r="J21" s="9">
        <f>COUNTIFS(Bin!$B$2:$B$22,"=E",Bin!$D$2:$D$22,"'&gt;10'000'000")</f>
        <v>0</v>
      </c>
      <c r="K21" s="9">
        <f>SUM(C21:J21)</f>
        <v>4</v>
      </c>
      <c r="L21" s="1" t="s">
        <v>93</v>
      </c>
    </row>
    <row r="22" spans="1:12">
      <c r="B22" s="2" t="s">
        <v>63</v>
      </c>
      <c r="C22" s="3">
        <f>COUNTIFS(Bin!$B$2:$B$22,"=P",Bin!$D$2:$D$22,"negative")</f>
        <v>0</v>
      </c>
      <c r="D22" s="3">
        <f>COUNTIFS(Bin!$B$2:$B$22,"=P",Bin!$D$2:$D$22,"zero")</f>
        <v>0</v>
      </c>
      <c r="E22" s="3">
        <f>COUNTIFS(Bin!$B$2:$B$22,"=P",Bin!$D$2:$D$22,"1-1000")</f>
        <v>2</v>
      </c>
      <c r="F22" s="3">
        <f>COUNTIFS(Bin!$B$2:$B$22,"=P",Bin!$D$2:$D$22,"1'001-10'000")</f>
        <v>1</v>
      </c>
      <c r="G22" s="3">
        <f>COUNTIFS(Bin!$B$2:$B$22,"=P",Bin!$D$2:$D$22,"10'001-100'000")</f>
        <v>0</v>
      </c>
      <c r="H22" s="3">
        <f>COUNTIFS(Bin!$B$2:$B$22,"=P",Bin!$D$2:$D$22,"100'001-1'000'000")</f>
        <v>0</v>
      </c>
      <c r="I22" s="3">
        <f>COUNTIFS(Bin!$B$2:$B$22,"=P",Bin!$D$2:$D$22,"1'000'001-10'000'000")</f>
        <v>0</v>
      </c>
      <c r="J22" s="3">
        <f>COUNTIFS(Bin!$B$2:$B$22,"=P",Bin!$D$2:$D$22,"'&gt;10'000'000")</f>
        <v>1</v>
      </c>
      <c r="K22" s="3">
        <f t="shared" ref="K22:K26" si="18">SUM(C22:J22)</f>
        <v>4</v>
      </c>
      <c r="L22" s="1" t="s">
        <v>93</v>
      </c>
    </row>
    <row r="23" spans="1:12">
      <c r="B23" s="2" t="s">
        <v>64</v>
      </c>
      <c r="C23" s="3">
        <f>COUNTIFS(Bin!$B$2:$B$22,"=A",Bin!$D$2:$D$22,"negative")</f>
        <v>0</v>
      </c>
      <c r="D23" s="3">
        <f>COUNTIFS(Bin!$B$2:$B$22,"=A",Bin!$D$2:$D$22,"zero")</f>
        <v>1</v>
      </c>
      <c r="E23" s="3">
        <f>COUNTIFS(Bin!$B$2:$B$22,"=A",Bin!$D$2:$D$22,"1-1000")</f>
        <v>3</v>
      </c>
      <c r="F23" s="3">
        <f>COUNTIFS(Bin!$B$2:$B$22,"=A",Bin!$D$2:$D$22,"1'001-10'000")</f>
        <v>1</v>
      </c>
      <c r="G23" s="3">
        <f>COUNTIFS(Bin!$B$2:$B$22,"=A",Bin!$D$2:$D$22,"10'001-100'000")</f>
        <v>0</v>
      </c>
      <c r="H23" s="3">
        <f>COUNTIFS(Bin!$B$2:$B$22,"=A",Bin!$D$2:$D$22,"100'001-1'000'000")</f>
        <v>0</v>
      </c>
      <c r="I23" s="3">
        <f>COUNTIFS(Bin!$B$2:$B$22,"=A",Bin!$D$2:$D$22,"1'000'001-10'000'000")</f>
        <v>1</v>
      </c>
      <c r="J23" s="3">
        <f>COUNTIFS(Bin!$B$2:$B$22,"=A",Bin!$D$2:$D$22,"'&gt;10'000'000")</f>
        <v>0</v>
      </c>
      <c r="K23" s="3">
        <f t="shared" si="18"/>
        <v>6</v>
      </c>
      <c r="L23" s="1" t="s">
        <v>93</v>
      </c>
    </row>
    <row r="24" spans="1:12">
      <c r="B24" s="2" t="s">
        <v>65</v>
      </c>
      <c r="C24" s="3">
        <f>COUNTIFS(Bin!$B$2:$B$22,"=T",Bin!$D$2:$D$22,"negative")</f>
        <v>0</v>
      </c>
      <c r="D24" s="3">
        <f>COUNTIFS(Bin!$B$2:$B$22,"=T",Bin!$D$2:$D$22,"zero")</f>
        <v>1</v>
      </c>
      <c r="E24" s="3">
        <f>COUNTIFS(Bin!$B$2:$B$22,"=T",Bin!$D$2:$D$22,"1-1000")</f>
        <v>3</v>
      </c>
      <c r="F24" s="3">
        <f>COUNTIFS(Bin!$B$2:$B$22,"=T",Bin!$D$2:$D$22,"1'001-10'000")</f>
        <v>0</v>
      </c>
      <c r="G24" s="3">
        <f>COUNTIFS(Bin!$B$2:$B$22,"=T",Bin!$D$2:$D$22,"10'001-100'000")</f>
        <v>0</v>
      </c>
      <c r="H24" s="3">
        <f>COUNTIFS(Bin!$B$2:$B$22,"=T",Bin!$D$2:$D$22,"100'001-1'000'000")</f>
        <v>0</v>
      </c>
      <c r="I24" s="3">
        <f>COUNTIFS(Bin!$B$2:$B$22,"=T",Bin!$D$2:$D$22,"1'000'001-10'000'000")</f>
        <v>0</v>
      </c>
      <c r="J24" s="3">
        <f>COUNTIFS(Bin!$B$2:$B$22,"=T",Bin!$D$2:$D$22,"'&gt;10'000'000")</f>
        <v>0</v>
      </c>
      <c r="K24" s="3">
        <f t="shared" si="18"/>
        <v>4</v>
      </c>
      <c r="L24" s="1" t="s">
        <v>93</v>
      </c>
    </row>
    <row r="25" spans="1:12">
      <c r="B25" s="2" t="s">
        <v>66</v>
      </c>
      <c r="C25" s="3">
        <f>COUNTIFS(Bin!$B$2:$B$22,"=C",Bin!$D$2:$D$22,"negative")</f>
        <v>1</v>
      </c>
      <c r="D25" s="3">
        <f>COUNTIFS(Bin!$B$2:$B$22,"=C",Bin!$D$2:$D$22,"zero")</f>
        <v>0</v>
      </c>
      <c r="E25" s="3">
        <f>COUNTIFS(Bin!$B$2:$B$22,"=C",Bin!$D$2:$D$22,"1-1000")</f>
        <v>2</v>
      </c>
      <c r="F25" s="3">
        <f>COUNTIFS(Bin!$B$2:$B$22,"=C",Bin!$D$2:$D$22,"1'001-10'000")</f>
        <v>0</v>
      </c>
      <c r="G25" s="3">
        <f>COUNTIFS(Bin!$B$2:$B$22,"=C",Bin!$D$2:$D$22,"10'001-100'000")</f>
        <v>0</v>
      </c>
      <c r="H25" s="3">
        <f>COUNTIFS(Bin!$B$2:$B$22,"=C",Bin!$D$2:$D$22,"100'001-1'000'000")</f>
        <v>0</v>
      </c>
      <c r="I25" s="3">
        <f>COUNTIFS(Bin!$B$2:$B$22,"=C",Bin!$D$2:$D$22,"1'000'001-10'000'000")</f>
        <v>0</v>
      </c>
      <c r="J25" s="3">
        <f>COUNTIFS(Bin!$B$2:$B$22,"=C",Bin!$D$2:$D$22,"'&gt;10'000'000")</f>
        <v>0</v>
      </c>
      <c r="K25" s="3">
        <f t="shared" si="18"/>
        <v>3</v>
      </c>
      <c r="L25" s="1" t="s">
        <v>93</v>
      </c>
    </row>
    <row r="26" spans="1:12">
      <c r="B26" s="2" t="s">
        <v>67</v>
      </c>
      <c r="C26" s="3">
        <f>SUM(C21:C25)</f>
        <v>1</v>
      </c>
      <c r="D26" s="3">
        <f t="shared" ref="D26" si="19">SUM(D21:D25)</f>
        <v>2</v>
      </c>
      <c r="E26" s="3">
        <f t="shared" ref="E26" si="20">SUM(E21:E25)</f>
        <v>13</v>
      </c>
      <c r="F26" s="3">
        <f t="shared" ref="F26" si="21">SUM(F21:F25)</f>
        <v>2</v>
      </c>
      <c r="G26" s="3">
        <f t="shared" ref="G26" si="22">SUM(G21:G25)</f>
        <v>1</v>
      </c>
      <c r="H26" s="3">
        <f t="shared" ref="H26" si="23">SUM(H21:H25)</f>
        <v>0</v>
      </c>
      <c r="I26" s="3">
        <f t="shared" ref="I26" si="24">SUM(I21:I25)</f>
        <v>1</v>
      </c>
      <c r="J26" s="3">
        <f t="shared" ref="J26" si="25">SUM(J21:J25)</f>
        <v>1</v>
      </c>
      <c r="K26" s="3">
        <f t="shared" si="18"/>
        <v>21</v>
      </c>
    </row>
    <row r="27" spans="1:12">
      <c r="A27" s="1" t="s">
        <v>88</v>
      </c>
      <c r="B27" s="2" t="s">
        <v>68</v>
      </c>
      <c r="C27" s="8">
        <f>COUNTIFS(Bin!$B$2:$B$22,"=E",Bin!$D$2:$D$22,"negative")</f>
        <v>0</v>
      </c>
      <c r="D27" s="8">
        <f>COUNTIFS(Bin!$B$2:$B$22,"=E",Bin!$D$2:$D$22,"zero")</f>
        <v>0</v>
      </c>
      <c r="E27" s="8">
        <f>COUNTIFS(Bin!$B$2:$B$22,"=E",Bin!$D$2:$D$22,"1-1000")</f>
        <v>3</v>
      </c>
      <c r="F27" s="8">
        <f>COUNTIFS(Bin!$B$2:$B$22,"=E",Bin!$D$2:$D$22,"1'001-10'000")</f>
        <v>0</v>
      </c>
      <c r="G27" s="8">
        <f>COUNTIFS(Bin!$B$2:$B$22,"=E",Bin!$D$2:$D$22,"10'001-100'000")</f>
        <v>1</v>
      </c>
      <c r="H27" s="8">
        <f>COUNTIFS(Bin!$B$2:$B$22,"=E",Bin!$D$2:$D$22,"100'001-1'000'000")</f>
        <v>0</v>
      </c>
      <c r="I27" s="8">
        <f>COUNTIFS(Bin!$B$2:$B$22,"=E",Bin!$D$2:$D$22,"1'000'001-10'000'000")</f>
        <v>0</v>
      </c>
      <c r="J27" s="8">
        <f>COUNTIFS(Bin!$B$2:$B$22,"=E",Bin!$D$2:$D$22,"'&gt;10'000'000")</f>
        <v>0</v>
      </c>
      <c r="K27" s="8">
        <f>SUM(C27:J27)</f>
        <v>4</v>
      </c>
      <c r="L27" s="1" t="s">
        <v>94</v>
      </c>
    </row>
    <row r="28" spans="1:12">
      <c r="B28" s="2" t="s">
        <v>69</v>
      </c>
      <c r="C28" s="8">
        <f>COUNTIFS(Bin!$B$2:$B$22,"=P",Bin!$D$2:$D$22,"negative")</f>
        <v>0</v>
      </c>
      <c r="D28" s="8">
        <f>COUNTIFS(Bin!$B$2:$B$22,"=P",Bin!$D$2:$D$22,"zero")</f>
        <v>0</v>
      </c>
      <c r="E28" s="8">
        <f>COUNTIFS(Bin!$B$2:$B$22,"=P",Bin!$D$2:$D$22,"1-1000")</f>
        <v>2</v>
      </c>
      <c r="F28" s="8">
        <f>COUNTIFS(Bin!$B$2:$B$22,"=P",Bin!$D$2:$D$22,"1'001-10'000")</f>
        <v>1</v>
      </c>
      <c r="G28" s="8">
        <f>COUNTIFS(Bin!$B$2:$B$22,"=P",Bin!$D$2:$D$22,"10'001-100'000")</f>
        <v>0</v>
      </c>
      <c r="H28" s="8">
        <f>COUNTIFS(Bin!$B$2:$B$22,"=P",Bin!$D$2:$D$22,"100'001-1'000'000")</f>
        <v>0</v>
      </c>
      <c r="I28" s="8">
        <f>COUNTIFS(Bin!$B$2:$B$22,"=P",Bin!$D$2:$D$22,"1'000'001-10'000'000")</f>
        <v>0</v>
      </c>
      <c r="J28" s="8">
        <f>COUNTIFS(Bin!$B$2:$B$22,"=P",Bin!$D$2:$D$22,"'&gt;10'000'000")</f>
        <v>1</v>
      </c>
      <c r="K28" s="8">
        <f t="shared" ref="K28:K32" si="26">SUM(C28:J28)</f>
        <v>4</v>
      </c>
      <c r="L28" s="1" t="s">
        <v>94</v>
      </c>
    </row>
    <row r="29" spans="1:12">
      <c r="B29" s="2" t="s">
        <v>70</v>
      </c>
      <c r="C29" s="8">
        <f>COUNTIFS(Bin!$B$2:$B$22,"=A",Bin!$D$2:$D$22,"negative")</f>
        <v>0</v>
      </c>
      <c r="D29" s="8">
        <f>COUNTIFS(Bin!$B$2:$B$22,"=A",Bin!$D$2:$D$22,"zero")</f>
        <v>1</v>
      </c>
      <c r="E29" s="8">
        <f>COUNTIFS(Bin!$B$2:$B$22,"=A",Bin!$D$2:$D$22,"1-1000")</f>
        <v>3</v>
      </c>
      <c r="F29" s="8">
        <f>COUNTIFS(Bin!$B$2:$B$22,"=A",Bin!$D$2:$D$22,"1'001-10'000")</f>
        <v>1</v>
      </c>
      <c r="G29" s="8">
        <f>COUNTIFS(Bin!$B$2:$B$22,"=A",Bin!$D$2:$D$22,"10'001-100'000")</f>
        <v>0</v>
      </c>
      <c r="H29" s="8">
        <f>COUNTIFS(Bin!$B$2:$B$22,"=A",Bin!$D$2:$D$22,"100'001-1'000'000")</f>
        <v>0</v>
      </c>
      <c r="I29" s="8">
        <f>COUNTIFS(Bin!$B$2:$B$22,"=A",Bin!$D$2:$D$22,"1'000'001-10'000'000")</f>
        <v>1</v>
      </c>
      <c r="J29" s="8">
        <f>COUNTIFS(Bin!$B$2:$B$22,"=A",Bin!$D$2:$D$22,"'&gt;10'000'000")</f>
        <v>0</v>
      </c>
      <c r="K29" s="8">
        <f t="shared" si="26"/>
        <v>6</v>
      </c>
      <c r="L29" s="1" t="s">
        <v>94</v>
      </c>
    </row>
    <row r="30" spans="1:12">
      <c r="B30" s="2" t="s">
        <v>71</v>
      </c>
      <c r="C30" s="8">
        <f>COUNTIFS(Bin!$B$2:$B$22,"=T",Bin!$D$2:$D$22,"negative")</f>
        <v>0</v>
      </c>
      <c r="D30" s="8">
        <f>COUNTIFS(Bin!$B$2:$B$22,"=T",Bin!$D$2:$D$22,"zero")</f>
        <v>1</v>
      </c>
      <c r="E30" s="8">
        <f>COUNTIFS(Bin!$B$2:$B$22,"=T",Bin!$D$2:$D$22,"1-1000")</f>
        <v>3</v>
      </c>
      <c r="F30" s="8">
        <f>COUNTIFS(Bin!$B$2:$B$22,"=T",Bin!$D$2:$D$22,"1'001-10'000")</f>
        <v>0</v>
      </c>
      <c r="G30" s="8">
        <f>COUNTIFS(Bin!$B$2:$B$22,"=T",Bin!$D$2:$D$22,"10'001-100'000")</f>
        <v>0</v>
      </c>
      <c r="H30" s="8">
        <f>COUNTIFS(Bin!$B$2:$B$22,"=T",Bin!$D$2:$D$22,"100'001-1'000'000")</f>
        <v>0</v>
      </c>
      <c r="I30" s="8">
        <f>COUNTIFS(Bin!$B$2:$B$22,"=T",Bin!$D$2:$D$22,"1'000'001-10'000'000")</f>
        <v>0</v>
      </c>
      <c r="J30" s="8">
        <f>COUNTIFS(Bin!$B$2:$B$22,"=T",Bin!$D$2:$D$22,"'&gt;10'000'000")</f>
        <v>0</v>
      </c>
      <c r="K30" s="8">
        <f t="shared" si="26"/>
        <v>4</v>
      </c>
      <c r="L30" s="1" t="s">
        <v>94</v>
      </c>
    </row>
    <row r="31" spans="1:12">
      <c r="B31" s="2" t="s">
        <v>72</v>
      </c>
      <c r="C31" s="8">
        <f>COUNTIFS(Bin!$B$2:$B$22,"=C",Bin!$D$2:$D$22,"negative")</f>
        <v>1</v>
      </c>
      <c r="D31" s="8">
        <f>COUNTIFS(Bin!$B$2:$B$22,"=C",Bin!$D$2:$D$22,"zero")</f>
        <v>0</v>
      </c>
      <c r="E31" s="8">
        <f>COUNTIFS(Bin!$B$2:$B$22,"=C",Bin!$D$2:$D$22,"1-1000")</f>
        <v>2</v>
      </c>
      <c r="F31" s="8">
        <f>COUNTIFS(Bin!$B$2:$B$22,"=C",Bin!$D$2:$D$22,"1'001-10'000")</f>
        <v>0</v>
      </c>
      <c r="G31" s="8">
        <f>COUNTIFS(Bin!$B$2:$B$22,"=C",Bin!$D$2:$D$22,"10'001-100'000")</f>
        <v>0</v>
      </c>
      <c r="H31" s="8">
        <f>COUNTIFS(Bin!$B$2:$B$22,"=C",Bin!$D$2:$D$22,"100'001-1'000'000")</f>
        <v>0</v>
      </c>
      <c r="I31" s="8">
        <f>COUNTIFS(Bin!$B$2:$B$22,"=C",Bin!$D$2:$D$22,"1'000'001-10'000'000")</f>
        <v>0</v>
      </c>
      <c r="J31" s="8">
        <f>COUNTIFS(Bin!$B$2:$B$22,"=C",Bin!$D$2:$D$22,"'&gt;10'000'000")</f>
        <v>0</v>
      </c>
      <c r="K31" s="8">
        <f t="shared" si="26"/>
        <v>3</v>
      </c>
      <c r="L31" s="1" t="s">
        <v>94</v>
      </c>
    </row>
    <row r="32" spans="1:12">
      <c r="B32" s="2" t="s">
        <v>73</v>
      </c>
      <c r="C32" s="8">
        <f>SUM(C27:C31)</f>
        <v>1</v>
      </c>
      <c r="D32" s="8">
        <f t="shared" ref="D32" si="27">SUM(D27:D31)</f>
        <v>2</v>
      </c>
      <c r="E32" s="8">
        <f t="shared" ref="E32" si="28">SUM(E27:E31)</f>
        <v>13</v>
      </c>
      <c r="F32" s="8">
        <f t="shared" ref="F32" si="29">SUM(F27:F31)</f>
        <v>2</v>
      </c>
      <c r="G32" s="8">
        <f t="shared" ref="G32" si="30">SUM(G27:G31)</f>
        <v>1</v>
      </c>
      <c r="H32" s="8">
        <f t="shared" ref="H32" si="31">SUM(H27:H31)</f>
        <v>0</v>
      </c>
      <c r="I32" s="8">
        <f t="shared" ref="I32" si="32">SUM(I27:I31)</f>
        <v>1</v>
      </c>
      <c r="J32" s="8">
        <f t="shared" ref="J32" si="33">SUM(J27:J31)</f>
        <v>1</v>
      </c>
      <c r="K32" s="8">
        <f t="shared" si="26"/>
        <v>21</v>
      </c>
    </row>
    <row r="33" spans="1:12">
      <c r="A33" s="1" t="s">
        <v>89</v>
      </c>
      <c r="B33" s="2" t="s">
        <v>74</v>
      </c>
      <c r="C33" s="3">
        <f>COUNTIFS(Bin!$B$2:$B$22,"=E",Bin!$D$2:$D$22,"negative")</f>
        <v>0</v>
      </c>
      <c r="D33" s="3">
        <f>COUNTIFS(Bin!$B$2:$B$22,"=E",Bin!$D$2:$D$22,"zero")</f>
        <v>0</v>
      </c>
      <c r="E33" s="3">
        <f>COUNTIFS(Bin!$B$2:$B$22,"=E",Bin!$D$2:$D$22,"1-1000")</f>
        <v>3</v>
      </c>
      <c r="F33" s="3">
        <f>COUNTIFS(Bin!$B$2:$B$22,"=E",Bin!$D$2:$D$22,"1'001-10'000")</f>
        <v>0</v>
      </c>
      <c r="G33" s="3">
        <f>COUNTIFS(Bin!$B$2:$B$22,"=E",Bin!$D$2:$D$22,"10'001-100'000")</f>
        <v>1</v>
      </c>
      <c r="H33" s="3">
        <f>COUNTIFS(Bin!$B$2:$B$22,"=E",Bin!$D$2:$D$22,"100'001-1'000'000")</f>
        <v>0</v>
      </c>
      <c r="I33" s="3">
        <f>COUNTIFS(Bin!$B$2:$B$22,"=E",Bin!$D$2:$D$22,"1'000'001-10'000'000")</f>
        <v>0</v>
      </c>
      <c r="J33" s="3">
        <f>COUNTIFS(Bin!$B$2:$B$22,"=E",Bin!$D$2:$D$22,"'&gt;10'000'000")</f>
        <v>0</v>
      </c>
      <c r="K33" s="3">
        <f>SUM(C33:J33)</f>
        <v>4</v>
      </c>
      <c r="L33" s="1" t="s">
        <v>95</v>
      </c>
    </row>
    <row r="34" spans="1:12">
      <c r="B34" s="2" t="s">
        <v>75</v>
      </c>
      <c r="C34" s="3">
        <f>COUNTIFS(Bin!$B$2:$B$22,"=P",Bin!$D$2:$D$22,"negative")</f>
        <v>0</v>
      </c>
      <c r="D34" s="3">
        <f>COUNTIFS(Bin!$B$2:$B$22,"=P",Bin!$D$2:$D$22,"zero")</f>
        <v>0</v>
      </c>
      <c r="E34" s="3">
        <f>COUNTIFS(Bin!$B$2:$B$22,"=P",Bin!$D$2:$D$22,"1-1000")</f>
        <v>2</v>
      </c>
      <c r="F34" s="3">
        <f>COUNTIFS(Bin!$B$2:$B$22,"=P",Bin!$D$2:$D$22,"1'001-10'000")</f>
        <v>1</v>
      </c>
      <c r="G34" s="3">
        <f>COUNTIFS(Bin!$B$2:$B$22,"=P",Bin!$D$2:$D$22,"10'001-100'000")</f>
        <v>0</v>
      </c>
      <c r="H34" s="3">
        <f>COUNTIFS(Bin!$B$2:$B$22,"=P",Bin!$D$2:$D$22,"100'001-1'000'000")</f>
        <v>0</v>
      </c>
      <c r="I34" s="3">
        <f>COUNTIFS(Bin!$B$2:$B$22,"=P",Bin!$D$2:$D$22,"1'000'001-10'000'000")</f>
        <v>0</v>
      </c>
      <c r="J34" s="3">
        <f>COUNTIFS(Bin!$B$2:$B$22,"=P",Bin!$D$2:$D$22,"'&gt;10'000'000")</f>
        <v>1</v>
      </c>
      <c r="K34" s="3">
        <f t="shared" ref="K34:K38" si="34">SUM(C34:J34)</f>
        <v>4</v>
      </c>
      <c r="L34" s="1" t="s">
        <v>95</v>
      </c>
    </row>
    <row r="35" spans="1:12">
      <c r="B35" s="2" t="s">
        <v>76</v>
      </c>
      <c r="C35" s="3">
        <f>COUNTIFS(Bin!$B$2:$B$22,"=A",Bin!$D$2:$D$22,"negative")</f>
        <v>0</v>
      </c>
      <c r="D35" s="3">
        <f>COUNTIFS(Bin!$B$2:$B$22,"=A",Bin!$D$2:$D$22,"zero")</f>
        <v>1</v>
      </c>
      <c r="E35" s="3">
        <f>COUNTIFS(Bin!$B$2:$B$22,"=A",Bin!$D$2:$D$22,"1-1000")</f>
        <v>3</v>
      </c>
      <c r="F35" s="3">
        <f>COUNTIFS(Bin!$B$2:$B$22,"=A",Bin!$D$2:$D$22,"1'001-10'000")</f>
        <v>1</v>
      </c>
      <c r="G35" s="3">
        <f>COUNTIFS(Bin!$B$2:$B$22,"=A",Bin!$D$2:$D$22,"10'001-100'000")</f>
        <v>0</v>
      </c>
      <c r="H35" s="3">
        <f>COUNTIFS(Bin!$B$2:$B$22,"=A",Bin!$D$2:$D$22,"100'001-1'000'000")</f>
        <v>0</v>
      </c>
      <c r="I35" s="3">
        <f>COUNTIFS(Bin!$B$2:$B$22,"=A",Bin!$D$2:$D$22,"1'000'001-10'000'000")</f>
        <v>1</v>
      </c>
      <c r="J35" s="3">
        <f>COUNTIFS(Bin!$B$2:$B$22,"=A",Bin!$D$2:$D$22,"'&gt;10'000'000")</f>
        <v>0</v>
      </c>
      <c r="K35" s="3">
        <f t="shared" si="34"/>
        <v>6</v>
      </c>
      <c r="L35" s="1" t="s">
        <v>95</v>
      </c>
    </row>
    <row r="36" spans="1:12">
      <c r="B36" s="2" t="s">
        <v>77</v>
      </c>
      <c r="C36" s="3">
        <f>COUNTIFS(Bin!$B$2:$B$22,"=T",Bin!$D$2:$D$22,"negative")</f>
        <v>0</v>
      </c>
      <c r="D36" s="3">
        <f>COUNTIFS(Bin!$B$2:$B$22,"=T",Bin!$D$2:$D$22,"zero")</f>
        <v>1</v>
      </c>
      <c r="E36" s="3">
        <f>COUNTIFS(Bin!$B$2:$B$22,"=T",Bin!$D$2:$D$22,"1-1000")</f>
        <v>3</v>
      </c>
      <c r="F36" s="3">
        <f>COUNTIFS(Bin!$B$2:$B$22,"=T",Bin!$D$2:$D$22,"1'001-10'000")</f>
        <v>0</v>
      </c>
      <c r="G36" s="3">
        <f>COUNTIFS(Bin!$B$2:$B$22,"=T",Bin!$D$2:$D$22,"10'001-100'000")</f>
        <v>0</v>
      </c>
      <c r="H36" s="3">
        <f>COUNTIFS(Bin!$B$2:$B$22,"=T",Bin!$D$2:$D$22,"100'001-1'000'000")</f>
        <v>0</v>
      </c>
      <c r="I36" s="3">
        <f>COUNTIFS(Bin!$B$2:$B$22,"=T",Bin!$D$2:$D$22,"1'000'001-10'000'000")</f>
        <v>0</v>
      </c>
      <c r="J36" s="3">
        <f>COUNTIFS(Bin!$B$2:$B$22,"=T",Bin!$D$2:$D$22,"'&gt;10'000'000")</f>
        <v>0</v>
      </c>
      <c r="K36" s="3">
        <f t="shared" si="34"/>
        <v>4</v>
      </c>
      <c r="L36" s="1" t="s">
        <v>95</v>
      </c>
    </row>
    <row r="37" spans="1:12">
      <c r="B37" s="2" t="s">
        <v>78</v>
      </c>
      <c r="C37" s="3">
        <f>COUNTIFS(Bin!$B$2:$B$22,"=C",Bin!$D$2:$D$22,"negative")</f>
        <v>1</v>
      </c>
      <c r="D37" s="3">
        <f>COUNTIFS(Bin!$B$2:$B$22,"=C",Bin!$D$2:$D$22,"zero")</f>
        <v>0</v>
      </c>
      <c r="E37" s="3">
        <f>COUNTIFS(Bin!$B$2:$B$22,"=C",Bin!$D$2:$D$22,"1-1000")</f>
        <v>2</v>
      </c>
      <c r="F37" s="3">
        <f>COUNTIFS(Bin!$B$2:$B$22,"=C",Bin!$D$2:$D$22,"1'001-10'000")</f>
        <v>0</v>
      </c>
      <c r="G37" s="3">
        <f>COUNTIFS(Bin!$B$2:$B$22,"=C",Bin!$D$2:$D$22,"10'001-100'000")</f>
        <v>0</v>
      </c>
      <c r="H37" s="3">
        <f>COUNTIFS(Bin!$B$2:$B$22,"=C",Bin!$D$2:$D$22,"100'001-1'000'000")</f>
        <v>0</v>
      </c>
      <c r="I37" s="3">
        <f>COUNTIFS(Bin!$B$2:$B$22,"=C",Bin!$D$2:$D$22,"1'000'001-10'000'000")</f>
        <v>0</v>
      </c>
      <c r="J37" s="3">
        <f>COUNTIFS(Bin!$B$2:$B$22,"=C",Bin!$D$2:$D$22,"'&gt;10'000'000")</f>
        <v>0</v>
      </c>
      <c r="K37" s="3">
        <f t="shared" si="34"/>
        <v>3</v>
      </c>
      <c r="L37" s="1" t="s">
        <v>95</v>
      </c>
    </row>
    <row r="38" spans="1:12">
      <c r="B38" s="2" t="s">
        <v>90</v>
      </c>
      <c r="C38" s="3">
        <f>SUM(C33:C37)</f>
        <v>1</v>
      </c>
      <c r="D38" s="3">
        <f t="shared" ref="D38" si="35">SUM(D33:D37)</f>
        <v>2</v>
      </c>
      <c r="E38" s="3">
        <f t="shared" ref="E38" si="36">SUM(E33:E37)</f>
        <v>13</v>
      </c>
      <c r="F38" s="3">
        <f t="shared" ref="F38" si="37">SUM(F33:F37)</f>
        <v>2</v>
      </c>
      <c r="G38" s="3">
        <f t="shared" ref="G38" si="38">SUM(G33:G37)</f>
        <v>1</v>
      </c>
      <c r="H38" s="3">
        <f t="shared" ref="H38" si="39">SUM(H33:H37)</f>
        <v>0</v>
      </c>
      <c r="I38" s="3">
        <f t="shared" ref="I38" si="40">SUM(I33:I37)</f>
        <v>1</v>
      </c>
      <c r="J38" s="3">
        <f t="shared" ref="J38" si="41">SUM(J33:J37)</f>
        <v>1</v>
      </c>
      <c r="K38" s="3">
        <f t="shared" si="34"/>
        <v>21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3" sqref="B3"/>
    </sheetView>
  </sheetViews>
  <sheetFormatPr baseColWidth="10" defaultRowHeight="15"/>
  <cols>
    <col min="1" max="1" width="3.5703125" customWidth="1"/>
  </cols>
  <sheetData/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6:BP23"/>
  <sheetViews>
    <sheetView tabSelected="1" workbookViewId="0">
      <selection activeCell="AW14" sqref="AW14"/>
    </sheetView>
  </sheetViews>
  <sheetFormatPr baseColWidth="10" defaultColWidth="20" defaultRowHeight="15"/>
  <cols>
    <col min="1" max="1" width="18.140625" style="1" bestFit="1" customWidth="1"/>
    <col min="2" max="2" width="4.85546875" style="1" customWidth="1"/>
    <col min="3" max="3" width="8.7109375" style="1" customWidth="1"/>
    <col min="4" max="4" width="6.7109375" style="1" customWidth="1"/>
    <col min="5" max="5" width="11.85546875" style="1" customWidth="1"/>
    <col min="6" max="6" width="13.85546875" style="1" customWidth="1"/>
    <col min="7" max="7" width="19.140625" style="1" customWidth="1"/>
    <col min="8" max="8" width="11.140625" style="1" customWidth="1"/>
    <col min="9" max="9" width="15.5703125" style="1" customWidth="1"/>
    <col min="10" max="10" width="9.5703125" style="1" customWidth="1"/>
    <col min="11" max="11" width="18.140625" style="1" customWidth="1"/>
    <col min="12" max="12" width="4.85546875" style="1" customWidth="1"/>
    <col min="13" max="13" width="8.7109375" style="1" customWidth="1"/>
    <col min="14" max="14" width="6.7109375" style="1" customWidth="1"/>
    <col min="15" max="15" width="11.85546875" style="1" customWidth="1"/>
    <col min="16" max="16" width="13.85546875" style="1" customWidth="1"/>
    <col min="17" max="17" width="16.5703125" style="1" customWidth="1"/>
    <col min="18" max="18" width="11.140625" style="1" customWidth="1"/>
    <col min="19" max="19" width="15.5703125" style="1" customWidth="1"/>
    <col min="20" max="20" width="12.28515625" style="1" customWidth="1"/>
    <col min="21" max="21" width="18.140625" style="1" customWidth="1"/>
    <col min="22" max="22" width="4.85546875" style="1" customWidth="1"/>
    <col min="23" max="23" width="8.7109375" style="1" customWidth="1"/>
    <col min="24" max="24" width="6.7109375" style="1" customWidth="1"/>
    <col min="25" max="25" width="13.85546875" style="1" customWidth="1"/>
    <col min="26" max="26" width="16.5703125" style="1" customWidth="1"/>
    <col min="27" max="27" width="19.140625" style="1" customWidth="1"/>
    <col min="28" max="28" width="15.5703125" style="1" customWidth="1"/>
    <col min="29" max="29" width="9.5703125" style="1" customWidth="1"/>
    <col min="30" max="30" width="18.140625" style="1" customWidth="1"/>
    <col min="31" max="31" width="8.7109375" style="1" customWidth="1"/>
    <col min="32" max="32" width="6.7109375" style="1" customWidth="1"/>
    <col min="33" max="33" width="13.85546875" style="1" customWidth="1"/>
    <col min="34" max="34" width="16.5703125" style="1" customWidth="1"/>
    <col min="35" max="35" width="19.140625" style="1" customWidth="1"/>
    <col min="36" max="36" width="11.140625" style="1" customWidth="1"/>
    <col min="37" max="37" width="15.5703125" style="1" customWidth="1"/>
    <col min="38" max="38" width="12.28515625" style="1" customWidth="1"/>
    <col min="39" max="39" width="18.140625" style="1" customWidth="1"/>
    <col min="40" max="40" width="4.85546875" style="1" customWidth="1"/>
    <col min="41" max="41" width="8.7109375" style="1" customWidth="1"/>
    <col min="42" max="42" width="6.7109375" style="1" customWidth="1"/>
    <col min="43" max="43" width="11.85546875" style="1" customWidth="1"/>
    <col min="44" max="44" width="13.85546875" style="1" customWidth="1"/>
    <col min="45" max="45" width="16.5703125" style="1" customWidth="1"/>
    <col min="46" max="46" width="19.140625" style="1" customWidth="1"/>
    <col min="47" max="47" width="15.5703125" style="1" customWidth="1"/>
    <col min="48" max="48" width="9.5703125" style="1" customWidth="1"/>
    <col min="49" max="49" width="17.42578125" style="1" customWidth="1"/>
    <col min="50" max="50" width="11.140625" style="1" customWidth="1"/>
    <col min="51" max="51" width="15.5703125" style="1" customWidth="1"/>
    <col min="52" max="52" width="6.7109375" style="1" customWidth="1"/>
    <col min="53" max="53" width="11.85546875" style="1" customWidth="1"/>
    <col min="54" max="54" width="13.85546875" style="1" customWidth="1"/>
    <col min="55" max="55" width="16.5703125" style="1" customWidth="1"/>
    <col min="56" max="56" width="11.140625" style="1" customWidth="1"/>
    <col min="57" max="57" width="15.5703125" style="1" customWidth="1"/>
    <col min="58" max="58" width="12.28515625" style="1" customWidth="1"/>
    <col min="59" max="16384" width="20" style="1"/>
  </cols>
  <sheetData>
    <row r="16" spans="1:68" s="5" customFormat="1">
      <c r="A16" s="6" t="s">
        <v>37</v>
      </c>
      <c r="B16" s="1"/>
      <c r="C16" s="1"/>
      <c r="D16" s="1"/>
      <c r="E16" s="1"/>
      <c r="F16" s="1"/>
      <c r="G16" s="1"/>
      <c r="H16" s="1"/>
      <c r="I16" s="1"/>
      <c r="J16" s="1"/>
      <c r="K16" s="6" t="s">
        <v>40</v>
      </c>
      <c r="L16" s="1"/>
      <c r="M16" s="1"/>
      <c r="N16" s="1"/>
      <c r="O16" s="1"/>
      <c r="P16" s="1"/>
      <c r="Q16" s="1"/>
      <c r="R16" s="1"/>
      <c r="S16" s="1"/>
      <c r="T16" s="1"/>
      <c r="U16" s="6" t="s">
        <v>41</v>
      </c>
      <c r="V16" s="1"/>
      <c r="W16" s="1"/>
      <c r="X16" s="1"/>
      <c r="Y16" s="1"/>
      <c r="Z16" s="1"/>
      <c r="AA16" s="1"/>
      <c r="AB16" s="1"/>
      <c r="AC16" s="1"/>
      <c r="AD16" s="6" t="s">
        <v>87</v>
      </c>
      <c r="AE16" s="1"/>
      <c r="AF16" s="1"/>
      <c r="AG16" s="1"/>
      <c r="AH16" s="1"/>
      <c r="AI16" s="1"/>
      <c r="AJ16" s="1"/>
      <c r="AK16" s="1"/>
      <c r="AL16" s="1"/>
      <c r="AM16" s="6" t="s">
        <v>88</v>
      </c>
      <c r="AN16" s="1"/>
      <c r="AO16" s="1"/>
      <c r="AP16" s="1"/>
      <c r="AQ16" s="1"/>
      <c r="AR16" s="1"/>
      <c r="AS16" s="1"/>
      <c r="AT16" s="1"/>
      <c r="AU16" s="1"/>
      <c r="AV16" s="1"/>
      <c r="AW16" s="6" t="s">
        <v>89</v>
      </c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51">
      <c r="B17" s="1" t="s">
        <v>36</v>
      </c>
      <c r="C17" s="1" t="s">
        <v>54</v>
      </c>
      <c r="D17" s="1" t="s">
        <v>55</v>
      </c>
      <c r="E17" s="1" t="s">
        <v>84</v>
      </c>
      <c r="F17" s="1" t="s">
        <v>82</v>
      </c>
      <c r="G17" s="1" t="s">
        <v>86</v>
      </c>
      <c r="H17" s="1" t="s">
        <v>85</v>
      </c>
      <c r="I17" s="1" t="s">
        <v>35</v>
      </c>
      <c r="L17" s="1" t="s">
        <v>36</v>
      </c>
      <c r="M17" s="1" t="s">
        <v>54</v>
      </c>
      <c r="N17" s="1" t="s">
        <v>55</v>
      </c>
      <c r="O17" s="1" t="s">
        <v>84</v>
      </c>
      <c r="P17" s="1" t="s">
        <v>82</v>
      </c>
      <c r="Q17" s="1" t="s">
        <v>83</v>
      </c>
      <c r="R17" s="1" t="s">
        <v>85</v>
      </c>
      <c r="S17" s="1" t="s">
        <v>35</v>
      </c>
      <c r="V17" s="1" t="s">
        <v>36</v>
      </c>
      <c r="W17" s="1" t="s">
        <v>54</v>
      </c>
      <c r="X17" s="1" t="s">
        <v>55</v>
      </c>
      <c r="Y17" s="1" t="s">
        <v>82</v>
      </c>
      <c r="Z17" s="1" t="s">
        <v>83</v>
      </c>
      <c r="AA17" s="1" t="s">
        <v>86</v>
      </c>
      <c r="AB17" s="1" t="s">
        <v>35</v>
      </c>
      <c r="AE17" s="1" t="s">
        <v>54</v>
      </c>
      <c r="AF17" s="1" t="s">
        <v>55</v>
      </c>
      <c r="AG17" s="1" t="s">
        <v>82</v>
      </c>
      <c r="AH17" s="1" t="s">
        <v>83</v>
      </c>
      <c r="AI17" s="1" t="s">
        <v>86</v>
      </c>
      <c r="AJ17" s="1" t="s">
        <v>85</v>
      </c>
      <c r="AK17" s="1" t="s">
        <v>35</v>
      </c>
      <c r="AN17" s="1" t="s">
        <v>36</v>
      </c>
      <c r="AO17" s="1" t="s">
        <v>54</v>
      </c>
      <c r="AP17" s="1" t="s">
        <v>55</v>
      </c>
      <c r="AQ17" s="1" t="s">
        <v>84</v>
      </c>
      <c r="AR17" s="1" t="s">
        <v>82</v>
      </c>
      <c r="AS17" s="1" t="s">
        <v>83</v>
      </c>
      <c r="AT17" s="1" t="s">
        <v>86</v>
      </c>
      <c r="AU17" s="1" t="s">
        <v>35</v>
      </c>
      <c r="AX17" s="1" t="s">
        <v>85</v>
      </c>
      <c r="AY17" s="1" t="s">
        <v>35</v>
      </c>
    </row>
    <row r="18" spans="1:51">
      <c r="A18" s="1" t="s">
        <v>0</v>
      </c>
      <c r="B18" s="7">
        <v>1</v>
      </c>
      <c r="C18" s="7">
        <v>0</v>
      </c>
      <c r="D18" s="7">
        <v>3</v>
      </c>
      <c r="E18" s="7">
        <v>1</v>
      </c>
      <c r="F18" s="7">
        <v>0</v>
      </c>
      <c r="G18" s="7">
        <v>1</v>
      </c>
      <c r="H18" s="7">
        <v>0</v>
      </c>
      <c r="I18" s="7">
        <v>6</v>
      </c>
      <c r="K18" s="1" t="s">
        <v>0</v>
      </c>
      <c r="L18" s="7">
        <v>1</v>
      </c>
      <c r="M18" s="7">
        <v>0</v>
      </c>
      <c r="N18" s="7">
        <v>2</v>
      </c>
      <c r="O18" s="7">
        <v>1</v>
      </c>
      <c r="P18" s="7">
        <v>1</v>
      </c>
      <c r="Q18" s="7">
        <v>0</v>
      </c>
      <c r="R18" s="7">
        <v>1</v>
      </c>
      <c r="S18" s="7">
        <v>6</v>
      </c>
      <c r="U18" s="1" t="s">
        <v>0</v>
      </c>
      <c r="V18" s="7">
        <v>0</v>
      </c>
      <c r="W18" s="7">
        <v>0</v>
      </c>
      <c r="X18" s="7">
        <v>5</v>
      </c>
      <c r="Y18" s="7">
        <v>1</v>
      </c>
      <c r="Z18" s="7">
        <v>0</v>
      </c>
      <c r="AA18" s="7">
        <v>0</v>
      </c>
      <c r="AB18" s="7">
        <v>6</v>
      </c>
      <c r="AD18" s="1" t="s">
        <v>0</v>
      </c>
      <c r="AE18" s="7">
        <v>0</v>
      </c>
      <c r="AF18" s="7">
        <v>5</v>
      </c>
      <c r="AG18" s="7">
        <v>0</v>
      </c>
      <c r="AH18" s="7">
        <v>1</v>
      </c>
      <c r="AI18" s="7">
        <v>0</v>
      </c>
      <c r="AJ18" s="7">
        <v>0</v>
      </c>
      <c r="AK18" s="7">
        <v>6</v>
      </c>
      <c r="AM18" s="1" t="s">
        <v>0</v>
      </c>
      <c r="AN18" s="7">
        <v>2</v>
      </c>
      <c r="AO18" s="7">
        <v>1</v>
      </c>
      <c r="AP18" s="7">
        <v>2</v>
      </c>
      <c r="AQ18" s="7">
        <v>0</v>
      </c>
      <c r="AR18" s="7">
        <v>1</v>
      </c>
      <c r="AS18" s="7">
        <v>0</v>
      </c>
      <c r="AT18" s="7">
        <v>0</v>
      </c>
      <c r="AU18" s="7">
        <v>6</v>
      </c>
      <c r="AW18" s="1" t="s">
        <v>0</v>
      </c>
      <c r="AX18" s="7">
        <v>6</v>
      </c>
      <c r="AY18" s="7">
        <v>6</v>
      </c>
    </row>
    <row r="19" spans="1:51">
      <c r="A19" s="1" t="s">
        <v>12</v>
      </c>
      <c r="B19" s="7">
        <v>0</v>
      </c>
      <c r="C19" s="7">
        <v>1</v>
      </c>
      <c r="D19" s="7">
        <v>2</v>
      </c>
      <c r="E19" s="7">
        <v>0</v>
      </c>
      <c r="F19" s="7">
        <v>0</v>
      </c>
      <c r="G19" s="7">
        <v>0</v>
      </c>
      <c r="H19" s="7">
        <v>0</v>
      </c>
      <c r="I19" s="7">
        <v>3</v>
      </c>
      <c r="K19" s="1" t="s">
        <v>12</v>
      </c>
      <c r="L19" s="7">
        <v>0</v>
      </c>
      <c r="M19" s="7">
        <v>0</v>
      </c>
      <c r="N19" s="7">
        <v>3</v>
      </c>
      <c r="O19" s="7">
        <v>0</v>
      </c>
      <c r="P19" s="7">
        <v>0</v>
      </c>
      <c r="Q19" s="7">
        <v>0</v>
      </c>
      <c r="R19" s="7">
        <v>0</v>
      </c>
      <c r="S19" s="7">
        <v>3</v>
      </c>
      <c r="U19" s="1" t="s">
        <v>12</v>
      </c>
      <c r="V19" s="7">
        <v>1</v>
      </c>
      <c r="W19" s="7">
        <v>1</v>
      </c>
      <c r="X19" s="7">
        <v>0</v>
      </c>
      <c r="Y19" s="7">
        <v>0</v>
      </c>
      <c r="Z19" s="7">
        <v>0</v>
      </c>
      <c r="AA19" s="7">
        <v>1</v>
      </c>
      <c r="AB19" s="7">
        <v>3</v>
      </c>
      <c r="AD19" s="1" t="s">
        <v>12</v>
      </c>
      <c r="AE19" s="7">
        <v>0</v>
      </c>
      <c r="AF19" s="7">
        <v>3</v>
      </c>
      <c r="AG19" s="7">
        <v>0</v>
      </c>
      <c r="AH19" s="7">
        <v>0</v>
      </c>
      <c r="AI19" s="7">
        <v>0</v>
      </c>
      <c r="AJ19" s="7">
        <v>0</v>
      </c>
      <c r="AK19" s="7">
        <v>3</v>
      </c>
      <c r="AM19" s="1" t="s">
        <v>12</v>
      </c>
      <c r="AN19" s="7">
        <v>0</v>
      </c>
      <c r="AO19" s="7">
        <v>0</v>
      </c>
      <c r="AP19" s="7">
        <v>3</v>
      </c>
      <c r="AQ19" s="7">
        <v>0</v>
      </c>
      <c r="AR19" s="7">
        <v>0</v>
      </c>
      <c r="AS19" s="7">
        <v>0</v>
      </c>
      <c r="AT19" s="7">
        <v>0</v>
      </c>
      <c r="AU19" s="7">
        <v>3</v>
      </c>
      <c r="AW19" s="1" t="s">
        <v>12</v>
      </c>
      <c r="AX19" s="7">
        <v>3</v>
      </c>
      <c r="AY19" s="7">
        <v>3</v>
      </c>
    </row>
    <row r="20" spans="1:51">
      <c r="A20" s="1" t="s">
        <v>7</v>
      </c>
      <c r="B20" s="7">
        <v>0</v>
      </c>
      <c r="C20" s="7">
        <v>0</v>
      </c>
      <c r="D20" s="7">
        <v>3</v>
      </c>
      <c r="E20" s="7">
        <v>0</v>
      </c>
      <c r="F20" s="7">
        <v>1</v>
      </c>
      <c r="G20" s="7">
        <v>0</v>
      </c>
      <c r="H20" s="7">
        <v>0</v>
      </c>
      <c r="I20" s="7">
        <v>4</v>
      </c>
      <c r="K20" s="1" t="s">
        <v>7</v>
      </c>
      <c r="L20" s="7">
        <v>0</v>
      </c>
      <c r="M20" s="7">
        <v>0</v>
      </c>
      <c r="N20" s="7">
        <v>3</v>
      </c>
      <c r="O20" s="7">
        <v>0</v>
      </c>
      <c r="P20" s="7">
        <v>1</v>
      </c>
      <c r="Q20" s="7">
        <v>0</v>
      </c>
      <c r="R20" s="7">
        <v>0</v>
      </c>
      <c r="S20" s="7">
        <v>4</v>
      </c>
      <c r="U20" s="1" t="s">
        <v>7</v>
      </c>
      <c r="V20" s="7">
        <v>1</v>
      </c>
      <c r="W20" s="7">
        <v>0</v>
      </c>
      <c r="X20" s="7">
        <v>3</v>
      </c>
      <c r="Y20" s="7">
        <v>0</v>
      </c>
      <c r="Z20" s="7">
        <v>0</v>
      </c>
      <c r="AA20" s="7">
        <v>0</v>
      </c>
      <c r="AB20" s="7">
        <v>4</v>
      </c>
      <c r="AD20" s="1" t="s">
        <v>7</v>
      </c>
      <c r="AE20" s="7">
        <v>0</v>
      </c>
      <c r="AF20" s="7">
        <v>4</v>
      </c>
      <c r="AG20" s="7">
        <v>0</v>
      </c>
      <c r="AH20" s="7">
        <v>0</v>
      </c>
      <c r="AI20" s="7">
        <v>0</v>
      </c>
      <c r="AJ20" s="7">
        <v>0</v>
      </c>
      <c r="AK20" s="7">
        <v>4</v>
      </c>
      <c r="AM20" s="1" t="s">
        <v>7</v>
      </c>
      <c r="AN20" s="7">
        <v>0</v>
      </c>
      <c r="AO20" s="7">
        <v>0</v>
      </c>
      <c r="AP20" s="7">
        <v>3</v>
      </c>
      <c r="AQ20" s="7">
        <v>0</v>
      </c>
      <c r="AR20" s="7">
        <v>0</v>
      </c>
      <c r="AS20" s="7">
        <v>1</v>
      </c>
      <c r="AT20" s="7">
        <v>0</v>
      </c>
      <c r="AU20" s="7">
        <v>4</v>
      </c>
      <c r="AW20" s="1" t="s">
        <v>7</v>
      </c>
      <c r="AX20" s="7">
        <v>4</v>
      </c>
      <c r="AY20" s="7">
        <v>4</v>
      </c>
    </row>
    <row r="21" spans="1:51">
      <c r="A21" s="1" t="s">
        <v>2</v>
      </c>
      <c r="B21" s="7">
        <v>0</v>
      </c>
      <c r="C21" s="7">
        <v>0</v>
      </c>
      <c r="D21" s="7">
        <v>2</v>
      </c>
      <c r="E21" s="7">
        <v>1</v>
      </c>
      <c r="F21" s="7">
        <v>0</v>
      </c>
      <c r="G21" s="7">
        <v>0</v>
      </c>
      <c r="H21" s="7">
        <v>1</v>
      </c>
      <c r="I21" s="7">
        <v>4</v>
      </c>
      <c r="K21" s="1" t="s">
        <v>2</v>
      </c>
      <c r="L21" s="7">
        <v>2</v>
      </c>
      <c r="M21" s="7">
        <v>1</v>
      </c>
      <c r="N21" s="7">
        <v>1</v>
      </c>
      <c r="O21" s="7">
        <v>0</v>
      </c>
      <c r="P21" s="7">
        <v>0</v>
      </c>
      <c r="Q21" s="7">
        <v>0</v>
      </c>
      <c r="R21" s="7">
        <v>0</v>
      </c>
      <c r="S21" s="7">
        <v>4</v>
      </c>
      <c r="U21" s="1" t="s">
        <v>2</v>
      </c>
      <c r="V21" s="7">
        <v>0</v>
      </c>
      <c r="W21" s="7">
        <v>0</v>
      </c>
      <c r="X21" s="7">
        <v>3</v>
      </c>
      <c r="Y21" s="7">
        <v>0</v>
      </c>
      <c r="Z21" s="7">
        <v>1</v>
      </c>
      <c r="AA21" s="7">
        <v>0</v>
      </c>
      <c r="AB21" s="7">
        <v>4</v>
      </c>
      <c r="AD21" s="1" t="s">
        <v>2</v>
      </c>
      <c r="AE21" s="7">
        <v>0</v>
      </c>
      <c r="AF21" s="7">
        <v>1</v>
      </c>
      <c r="AG21" s="7">
        <v>1</v>
      </c>
      <c r="AH21" s="7">
        <v>1</v>
      </c>
      <c r="AI21" s="7">
        <v>0</v>
      </c>
      <c r="AJ21" s="7">
        <v>1</v>
      </c>
      <c r="AK21" s="7">
        <v>4</v>
      </c>
      <c r="AM21" s="1" t="s">
        <v>2</v>
      </c>
      <c r="AN21" s="7">
        <v>1</v>
      </c>
      <c r="AO21" s="7">
        <v>0</v>
      </c>
      <c r="AP21" s="7">
        <v>2</v>
      </c>
      <c r="AQ21" s="7">
        <v>0</v>
      </c>
      <c r="AR21" s="7">
        <v>0</v>
      </c>
      <c r="AS21" s="7">
        <v>0</v>
      </c>
      <c r="AT21" s="7">
        <v>1</v>
      </c>
      <c r="AU21" s="7">
        <v>4</v>
      </c>
      <c r="AW21" s="1" t="s">
        <v>2</v>
      </c>
      <c r="AX21" s="7">
        <v>4</v>
      </c>
      <c r="AY21" s="7">
        <v>4</v>
      </c>
    </row>
    <row r="22" spans="1:51">
      <c r="A22" s="1" t="s">
        <v>4</v>
      </c>
      <c r="B22" s="7">
        <v>1</v>
      </c>
      <c r="C22" s="7">
        <v>0</v>
      </c>
      <c r="D22" s="7">
        <v>3</v>
      </c>
      <c r="E22" s="7">
        <v>0</v>
      </c>
      <c r="F22" s="7">
        <v>0</v>
      </c>
      <c r="G22" s="7">
        <v>0</v>
      </c>
      <c r="H22" s="7">
        <v>0</v>
      </c>
      <c r="I22" s="7">
        <v>4</v>
      </c>
      <c r="K22" s="1" t="s">
        <v>4</v>
      </c>
      <c r="L22" s="7">
        <v>1</v>
      </c>
      <c r="M22" s="7">
        <v>0</v>
      </c>
      <c r="N22" s="7">
        <v>1</v>
      </c>
      <c r="O22" s="7">
        <v>0</v>
      </c>
      <c r="P22" s="7">
        <v>1</v>
      </c>
      <c r="Q22" s="7">
        <v>1</v>
      </c>
      <c r="R22" s="7">
        <v>0</v>
      </c>
      <c r="S22" s="7">
        <v>4</v>
      </c>
      <c r="U22" s="1" t="s">
        <v>4</v>
      </c>
      <c r="V22" s="7">
        <v>1</v>
      </c>
      <c r="W22" s="7">
        <v>0</v>
      </c>
      <c r="X22" s="7">
        <v>2</v>
      </c>
      <c r="Y22" s="7">
        <v>1</v>
      </c>
      <c r="Z22" s="7">
        <v>0</v>
      </c>
      <c r="AA22" s="7">
        <v>0</v>
      </c>
      <c r="AB22" s="7">
        <v>4</v>
      </c>
      <c r="AD22" s="1" t="s">
        <v>4</v>
      </c>
      <c r="AE22" s="7">
        <v>1</v>
      </c>
      <c r="AF22" s="7">
        <v>2</v>
      </c>
      <c r="AG22" s="7">
        <v>0</v>
      </c>
      <c r="AH22" s="7">
        <v>0</v>
      </c>
      <c r="AI22" s="7">
        <v>1</v>
      </c>
      <c r="AJ22" s="7">
        <v>0</v>
      </c>
      <c r="AK22" s="7">
        <v>4</v>
      </c>
      <c r="AM22" s="1" t="s">
        <v>4</v>
      </c>
      <c r="AN22" s="7">
        <v>0</v>
      </c>
      <c r="AO22" s="7">
        <v>0</v>
      </c>
      <c r="AP22" s="7">
        <v>3</v>
      </c>
      <c r="AQ22" s="7">
        <v>1</v>
      </c>
      <c r="AR22" s="7">
        <v>0</v>
      </c>
      <c r="AS22" s="7">
        <v>0</v>
      </c>
      <c r="AT22" s="7">
        <v>0</v>
      </c>
      <c r="AU22" s="7">
        <v>4</v>
      </c>
      <c r="AW22" s="1" t="s">
        <v>4</v>
      </c>
      <c r="AX22" s="7">
        <v>4</v>
      </c>
      <c r="AY22" s="7">
        <v>4</v>
      </c>
    </row>
    <row r="23" spans="1:51">
      <c r="A23" s="1" t="s">
        <v>35</v>
      </c>
      <c r="B23" s="7">
        <v>2</v>
      </c>
      <c r="C23" s="7">
        <v>1</v>
      </c>
      <c r="D23" s="7">
        <v>13</v>
      </c>
      <c r="E23" s="7">
        <v>2</v>
      </c>
      <c r="F23" s="7">
        <v>1</v>
      </c>
      <c r="G23" s="7">
        <v>1</v>
      </c>
      <c r="H23" s="7">
        <v>1</v>
      </c>
      <c r="I23" s="7">
        <v>21</v>
      </c>
      <c r="K23" s="1" t="s">
        <v>35</v>
      </c>
      <c r="L23" s="7">
        <v>4</v>
      </c>
      <c r="M23" s="7">
        <v>1</v>
      </c>
      <c r="N23" s="7">
        <v>10</v>
      </c>
      <c r="O23" s="7">
        <v>1</v>
      </c>
      <c r="P23" s="7">
        <v>3</v>
      </c>
      <c r="Q23" s="7">
        <v>1</v>
      </c>
      <c r="R23" s="7">
        <v>1</v>
      </c>
      <c r="S23" s="7">
        <v>21</v>
      </c>
      <c r="U23" s="1" t="s">
        <v>35</v>
      </c>
      <c r="V23" s="7">
        <v>3</v>
      </c>
      <c r="W23" s="7">
        <v>1</v>
      </c>
      <c r="X23" s="7">
        <v>13</v>
      </c>
      <c r="Y23" s="7">
        <v>2</v>
      </c>
      <c r="Z23" s="7">
        <v>1</v>
      </c>
      <c r="AA23" s="7">
        <v>1</v>
      </c>
      <c r="AB23" s="7">
        <v>21</v>
      </c>
      <c r="AD23" s="1" t="s">
        <v>35</v>
      </c>
      <c r="AE23" s="7">
        <v>1</v>
      </c>
      <c r="AF23" s="7">
        <v>15</v>
      </c>
      <c r="AG23" s="7">
        <v>1</v>
      </c>
      <c r="AH23" s="7">
        <v>2</v>
      </c>
      <c r="AI23" s="7">
        <v>1</v>
      </c>
      <c r="AJ23" s="7">
        <v>1</v>
      </c>
      <c r="AK23" s="7">
        <v>21</v>
      </c>
      <c r="AM23" s="1" t="s">
        <v>35</v>
      </c>
      <c r="AN23" s="7">
        <v>3</v>
      </c>
      <c r="AO23" s="7">
        <v>1</v>
      </c>
      <c r="AP23" s="7">
        <v>13</v>
      </c>
      <c r="AQ23" s="7">
        <v>1</v>
      </c>
      <c r="AR23" s="7">
        <v>1</v>
      </c>
      <c r="AS23" s="7">
        <v>1</v>
      </c>
      <c r="AT23" s="7">
        <v>1</v>
      </c>
      <c r="AU23" s="7">
        <v>21</v>
      </c>
      <c r="AW23" s="1" t="s">
        <v>35</v>
      </c>
      <c r="AX23" s="7">
        <v>21</v>
      </c>
      <c r="AY23" s="7">
        <v>21</v>
      </c>
    </row>
  </sheetData>
  <pageMargins left="0.7" right="0.7" top="0.78740157499999996" bottom="0.78740157499999996" header="0.3" footer="0.3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Source</vt:lpstr>
      <vt:lpstr>Bin</vt:lpstr>
      <vt:lpstr>Count</vt:lpstr>
      <vt:lpstr>Graph</vt:lpstr>
      <vt:lpstr>Pivot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Home-PC</dc:creator>
  <cp:lastModifiedBy>Home-PC</cp:lastModifiedBy>
  <dcterms:created xsi:type="dcterms:W3CDTF">2011-09-17T05:55:38Z</dcterms:created>
  <dcterms:modified xsi:type="dcterms:W3CDTF">2011-09-17T13:51:23Z</dcterms:modified>
</cp:coreProperties>
</file>